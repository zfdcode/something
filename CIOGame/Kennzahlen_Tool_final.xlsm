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Sönke\Dropbox\CIO Planspiel\Excel Tool\"/>
    </mc:Choice>
  </mc:AlternateContent>
  <bookViews>
    <workbookView xWindow="930" yWindow="0" windowWidth="18405" windowHeight="5745" tabRatio="869"/>
  </bookViews>
  <sheets>
    <sheet name="Startseite" sheetId="10" r:id="rId1"/>
    <sheet name="Management Overview" sheetId="6" r:id="rId2"/>
    <sheet name="Process Development" sheetId="23" state="hidden" r:id="rId3"/>
    <sheet name="Resource Management" sheetId="12" r:id="rId4"/>
    <sheet name="Balanced Score Card" sheetId="1" r:id="rId5"/>
    <sheet name="Zusammenfassung IT" sheetId="28" r:id="rId6"/>
    <sheet name="Wochenplanung Übersicht" sheetId="22" r:id="rId7"/>
    <sheet name="Projekte" sheetId="17" r:id="rId8"/>
    <sheet name="Speicher Kosten" sheetId="24" state="hidden" r:id="rId9"/>
    <sheet name="Projekt Hilfe" sheetId="21" state="hidden" r:id="rId10"/>
    <sheet name="Namen Felder" sheetId="27" state="hidden" r:id="rId11"/>
    <sheet name="Diagramme" sheetId="25" state="hidden" r:id="rId12"/>
    <sheet name="CIO Resource Import" sheetId="11" state="hidden" r:id="rId13"/>
    <sheet name="CFO Resource Import" sheetId="13" state="hidden" r:id="rId14"/>
    <sheet name="CMO Resource Import" sheetId="14" state="hidden" r:id="rId15"/>
    <sheet name="COO Resource Import" sheetId="15" state="hidden" r:id="rId16"/>
    <sheet name="CIO Import" sheetId="2" state="hidden" r:id="rId17"/>
    <sheet name="CFO Import" sheetId="3" state="hidden" r:id="rId18"/>
    <sheet name="CMO Import" sheetId="4" state="hidden" r:id="rId19"/>
    <sheet name="COO Import" sheetId="5" state="hidden" r:id="rId20"/>
    <sheet name="Bilanz Import" sheetId="7" state="hidden" r:id="rId21"/>
    <sheet name="Profit Loss Import" sheetId="8" state="hidden" r:id="rId22"/>
  </sheets>
  <definedNames>
    <definedName name="balance_scorecard?p_p_id_go4c_bsc_rm_portlet_WAR_go4cbscrmportlet_INSTANCE_s6L2_p_p_lifecycle_0_p_p_state_maximized_p_p_mode_view_CURRENT_ROLE_CFO_1" localSheetId="17">'CFO Import'!$A$1:$C$8</definedName>
    <definedName name="balance_scorecard?p_p_id_go4c_bsc_rm_portlet_WAR_go4cbscrmportlet_INSTANCE_s6L2_p_p_lifecycle_0_p_p_state_maximized_p_p_mode_view_CURRENT_ROLE_CIO" localSheetId="16">'CIO Import'!$A$1:$C$57</definedName>
    <definedName name="balance_scorecard?p_p_id_go4c_bsc_rm_portlet_WAR_go4cbscrmportlet_INSTANCE_s6L2_p_p_lifecycle_0_p_p_state_maximized_p_p_mode_view_CURRENT_ROLE_CMO_1" localSheetId="18">'CMO Import'!$A$1:$C$27</definedName>
    <definedName name="balance_scorecard?p_p_id_go4c_bsc_rm_portlet_WAR_go4cbscrmportlet_INSTANCE_s6L2_p_p_lifecycle_0_p_p_state_maximized_p_p_mode_view_CURRENT_ROLE_COO_1" localSheetId="19">'COO Import'!$A$1:$C$57</definedName>
    <definedName name="balance_scorecard?p_p_id_go4c_bsc_rm_portlet_WAR_go4cbscrmportlet_INSTANCE_s6L2_p_p_lifecycle_0_p_p_state_maximized_p_p_mode_view_TABS_FORWARD_RESOURCE_MGMT_FORWARD_CURRENT_ROLE_CFO" localSheetId="13">'CFO Resource Import'!$A$1:$F$14</definedName>
    <definedName name="balance_scorecard?p_p_id_go4c_bsc_rm_portlet_WAR_go4cbscrmportlet_INSTANCE_s6L2_p_p_lifecycle_0_p_p_state_maximized_p_p_mode_view_TABS_FORWARD_RESOURCE_MGMT_FORWARD_CURRENT_ROLE_CIO" localSheetId="12">'CIO Resource Import'!$A$1:$F$66</definedName>
    <definedName name="balance_scorecard?p_p_id_go4c_bsc_rm_portlet_WAR_go4cbscrmportlet_INSTANCE_s6L2_p_p_lifecycle_0_p_p_state_maximized_p_p_mode_view_TABS_FORWARD_RESOURCE_MGMT_FORWARD_CURRENT_ROLE_CMO" localSheetId="14">'CMO Resource Import'!$A$1:$F$15</definedName>
    <definedName name="balance_scorecard?p_p_id_go4c_bsc_rm_portlet_WAR_go4cbscrmportlet_INSTANCE_s6L2_p_p_lifecycle_0_p_p_state_maximized_p_p_mode_view_TABS_FORWARD_RESOURCE_MGMT_FORWARD_CURRENT_ROLE_COO" localSheetId="15">'COO Resource Import'!$A$1:$F$31</definedName>
    <definedName name="management_overview" localSheetId="20">'Bilanz Import'!$A$1:$C$29</definedName>
    <definedName name="management_overview?p_p_id_go4c_mgmtoverview_portlet_WAR_go4cmgmtoverviewportlet_INSTANCE_lBa8_p_p_lifecycle_0_p_p_state_maximized_p_p_mode_view_TABS_FORWARD_PROCESS_DEVELOPMENT_FORWARD" localSheetId="2">'Process Development'!$A$1:$F$33</definedName>
    <definedName name="ProfitLoss" localSheetId="21">'Profit Loss Import'!$A$1:$B$23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T38" i="28" l="1"/>
  <c r="S38" i="28"/>
  <c r="R38" i="28"/>
  <c r="Q38" i="28"/>
  <c r="P38" i="28"/>
  <c r="O38" i="28"/>
  <c r="N38" i="28"/>
  <c r="M38" i="28"/>
  <c r="BG8" i="17"/>
  <c r="M63" i="28"/>
  <c r="M62" i="28"/>
  <c r="M61" i="28"/>
  <c r="M60" i="28"/>
  <c r="M59" i="28"/>
  <c r="L63" i="28"/>
  <c r="K63" i="28"/>
  <c r="J63" i="28"/>
  <c r="I63" i="28"/>
  <c r="H63" i="28"/>
  <c r="G63" i="28"/>
  <c r="F63" i="28"/>
  <c r="L62" i="28"/>
  <c r="K62" i="28"/>
  <c r="J62" i="28"/>
  <c r="I62" i="28"/>
  <c r="H62" i="28"/>
  <c r="G62" i="28"/>
  <c r="F62" i="28"/>
  <c r="L61" i="28"/>
  <c r="K61" i="28"/>
  <c r="J61" i="28"/>
  <c r="I61" i="28"/>
  <c r="H61" i="28"/>
  <c r="G61" i="28"/>
  <c r="F61" i="28"/>
  <c r="L60" i="28"/>
  <c r="K60" i="28"/>
  <c r="J60" i="28"/>
  <c r="I60" i="28"/>
  <c r="H60" i="28"/>
  <c r="G60" i="28"/>
  <c r="F60" i="28"/>
  <c r="L59" i="28"/>
  <c r="K59" i="28"/>
  <c r="J59" i="28"/>
  <c r="I59" i="28"/>
  <c r="H59" i="28"/>
  <c r="G59" i="28"/>
  <c r="F59" i="28"/>
  <c r="E63" i="28"/>
  <c r="E62" i="28"/>
  <c r="E61" i="28"/>
  <c r="E60" i="28"/>
  <c r="E59" i="28"/>
  <c r="M57" i="28"/>
  <c r="M56" i="28"/>
  <c r="M55" i="28"/>
  <c r="M54" i="28"/>
  <c r="L57" i="28"/>
  <c r="K57" i="28"/>
  <c r="J57" i="28"/>
  <c r="I57" i="28"/>
  <c r="H57" i="28"/>
  <c r="G57" i="28"/>
  <c r="F57" i="28"/>
  <c r="E57" i="28"/>
  <c r="L56" i="28"/>
  <c r="K56" i="28"/>
  <c r="J56" i="28"/>
  <c r="I56" i="28"/>
  <c r="H56" i="28"/>
  <c r="G56" i="28"/>
  <c r="F56" i="28"/>
  <c r="E56" i="28"/>
  <c r="L55" i="28"/>
  <c r="K55" i="28"/>
  <c r="J55" i="28"/>
  <c r="I55" i="28"/>
  <c r="H55" i="28"/>
  <c r="G55" i="28"/>
  <c r="F55" i="28"/>
  <c r="E55" i="28"/>
  <c r="L54" i="28"/>
  <c r="K54" i="28"/>
  <c r="J54" i="28"/>
  <c r="I54" i="28"/>
  <c r="H54" i="28"/>
  <c r="G54" i="28"/>
  <c r="F54" i="28"/>
  <c r="E54" i="28"/>
  <c r="L53" i="28"/>
  <c r="K53" i="28"/>
  <c r="J53" i="28"/>
  <c r="I53" i="28"/>
  <c r="H53" i="28"/>
  <c r="G53" i="28"/>
  <c r="F53" i="28"/>
  <c r="M53" i="28"/>
  <c r="E53" i="28"/>
  <c r="M51" i="28"/>
  <c r="M50" i="28"/>
  <c r="M49" i="28"/>
  <c r="M48" i="28"/>
  <c r="M47" i="28"/>
  <c r="L51" i="28"/>
  <c r="K51" i="28"/>
  <c r="J51" i="28"/>
  <c r="I51" i="28"/>
  <c r="H51" i="28"/>
  <c r="G51" i="28"/>
  <c r="F51" i="28"/>
  <c r="E51" i="28"/>
  <c r="L50" i="28"/>
  <c r="K50" i="28"/>
  <c r="J50" i="28"/>
  <c r="I50" i="28"/>
  <c r="H50" i="28"/>
  <c r="G50" i="28"/>
  <c r="F50" i="28"/>
  <c r="E50" i="28"/>
  <c r="L49" i="28"/>
  <c r="K49" i="28"/>
  <c r="J49" i="28"/>
  <c r="I49" i="28"/>
  <c r="H49" i="28"/>
  <c r="G49" i="28"/>
  <c r="F49" i="28"/>
  <c r="E49" i="28"/>
  <c r="L48" i="28"/>
  <c r="K48" i="28"/>
  <c r="J48" i="28"/>
  <c r="I48" i="28"/>
  <c r="H48" i="28"/>
  <c r="G48" i="28"/>
  <c r="F48" i="28"/>
  <c r="E48" i="28"/>
  <c r="L47" i="28"/>
  <c r="K47" i="28"/>
  <c r="J47" i="28"/>
  <c r="I47" i="28"/>
  <c r="H47" i="28"/>
  <c r="G47" i="28"/>
  <c r="F47" i="28"/>
  <c r="E47" i="28"/>
  <c r="E42" i="28"/>
  <c r="F42" i="28"/>
  <c r="G42" i="28"/>
  <c r="H42" i="28"/>
  <c r="I42" i="28"/>
  <c r="J42" i="28"/>
  <c r="K42" i="28"/>
  <c r="L42" i="28"/>
  <c r="M42" i="28"/>
  <c r="E43" i="28"/>
  <c r="F43" i="28"/>
  <c r="G43" i="28"/>
  <c r="H43" i="28"/>
  <c r="I43" i="28"/>
  <c r="J43" i="28"/>
  <c r="K43" i="28"/>
  <c r="L43" i="28"/>
  <c r="M43" i="28"/>
  <c r="E44" i="28"/>
  <c r="F44" i="28"/>
  <c r="G44" i="28"/>
  <c r="H44" i="28"/>
  <c r="I44" i="28"/>
  <c r="J44" i="28"/>
  <c r="K44" i="28"/>
  <c r="L44" i="28"/>
  <c r="M44" i="28"/>
  <c r="E45" i="28"/>
  <c r="F45" i="28"/>
  <c r="F46" i="28"/>
  <c r="G45" i="28"/>
  <c r="H45" i="28"/>
  <c r="I45" i="28"/>
  <c r="J45" i="28"/>
  <c r="K45" i="28"/>
  <c r="L45" i="28"/>
  <c r="M45" i="28"/>
  <c r="M41" i="28"/>
  <c r="M46" i="28"/>
  <c r="L41" i="28"/>
  <c r="K41" i="28"/>
  <c r="J41" i="28"/>
  <c r="I41" i="28"/>
  <c r="H41" i="28"/>
  <c r="G41" i="28"/>
  <c r="F41" i="28"/>
  <c r="F64" i="28"/>
  <c r="E41" i="28"/>
  <c r="E46" i="28"/>
  <c r="E58" i="28"/>
  <c r="R4" i="28"/>
  <c r="R8" i="28"/>
  <c r="R18" i="28"/>
  <c r="Q29" i="28"/>
  <c r="F4" i="28"/>
  <c r="N4" i="28"/>
  <c r="G4" i="28"/>
  <c r="O4" i="28"/>
  <c r="H4" i="28"/>
  <c r="P4" i="28"/>
  <c r="I4" i="28"/>
  <c r="Q4" i="28"/>
  <c r="J4" i="28"/>
  <c r="K4" i="28"/>
  <c r="S4" i="28"/>
  <c r="L4" i="28"/>
  <c r="T4" i="28"/>
  <c r="F5" i="28"/>
  <c r="N5" i="28"/>
  <c r="G5" i="28"/>
  <c r="O5" i="28"/>
  <c r="H5" i="28"/>
  <c r="P5" i="28"/>
  <c r="I5" i="28"/>
  <c r="Q5" i="28"/>
  <c r="J5" i="28"/>
  <c r="R5" i="28"/>
  <c r="K5" i="28"/>
  <c r="S5" i="28"/>
  <c r="L5" i="28"/>
  <c r="T5" i="28"/>
  <c r="F6" i="28"/>
  <c r="N6" i="28"/>
  <c r="G6" i="28"/>
  <c r="O6" i="28"/>
  <c r="H6" i="28"/>
  <c r="P6" i="28"/>
  <c r="I6" i="28"/>
  <c r="Q6" i="28"/>
  <c r="J6" i="28"/>
  <c r="R6" i="28"/>
  <c r="K6" i="28"/>
  <c r="S6" i="28"/>
  <c r="L6" i="28"/>
  <c r="T6" i="28"/>
  <c r="F7" i="28"/>
  <c r="N7" i="28"/>
  <c r="G7" i="28"/>
  <c r="O7" i="28"/>
  <c r="H7" i="28"/>
  <c r="P7" i="28"/>
  <c r="I7" i="28"/>
  <c r="Q7" i="28"/>
  <c r="J7" i="28"/>
  <c r="R7" i="28"/>
  <c r="K7" i="28"/>
  <c r="S7" i="28"/>
  <c r="L7" i="28"/>
  <c r="T7" i="28"/>
  <c r="F8" i="28"/>
  <c r="N8" i="28"/>
  <c r="G8" i="28"/>
  <c r="O8" i="28"/>
  <c r="H8" i="28"/>
  <c r="P8" i="28"/>
  <c r="I8" i="28"/>
  <c r="Q8" i="28"/>
  <c r="J8" i="28"/>
  <c r="K8" i="28"/>
  <c r="S8" i="28"/>
  <c r="S34" i="28"/>
  <c r="L8" i="28"/>
  <c r="T8" i="28"/>
  <c r="F9" i="28"/>
  <c r="N9" i="28"/>
  <c r="G9" i="28"/>
  <c r="O9" i="28"/>
  <c r="H9" i="28"/>
  <c r="P9" i="28"/>
  <c r="I9" i="28"/>
  <c r="Q9" i="28"/>
  <c r="J9" i="28"/>
  <c r="R9" i="28"/>
  <c r="K9" i="28"/>
  <c r="S9" i="28"/>
  <c r="L9" i="28"/>
  <c r="T9" i="28"/>
  <c r="F10" i="28"/>
  <c r="N10" i="28"/>
  <c r="G10" i="28"/>
  <c r="O10" i="28"/>
  <c r="H10" i="28"/>
  <c r="P10" i="28"/>
  <c r="I10" i="28"/>
  <c r="Q10" i="28"/>
  <c r="J10" i="28"/>
  <c r="R10" i="28"/>
  <c r="K10" i="28"/>
  <c r="S10" i="28"/>
  <c r="L10" i="28"/>
  <c r="T10" i="28"/>
  <c r="F11" i="28"/>
  <c r="N11" i="28"/>
  <c r="G11" i="28"/>
  <c r="O11" i="28"/>
  <c r="H11" i="28"/>
  <c r="P11" i="28"/>
  <c r="I11" i="28"/>
  <c r="Q11" i="28"/>
  <c r="J11" i="28"/>
  <c r="R11" i="28"/>
  <c r="K11" i="28"/>
  <c r="S11" i="28"/>
  <c r="L11" i="28"/>
  <c r="T11" i="28"/>
  <c r="F12" i="28"/>
  <c r="N12" i="28"/>
  <c r="G12" i="28"/>
  <c r="O12" i="28"/>
  <c r="H12" i="28"/>
  <c r="P12" i="28"/>
  <c r="I12" i="28"/>
  <c r="Q12" i="28"/>
  <c r="J12" i="28"/>
  <c r="R12" i="28"/>
  <c r="K12" i="28"/>
  <c r="S12" i="28"/>
  <c r="L12" i="28"/>
  <c r="T12" i="28"/>
  <c r="F13" i="28"/>
  <c r="N13" i="28"/>
  <c r="G13" i="28"/>
  <c r="O13" i="28"/>
  <c r="H13" i="28"/>
  <c r="P13" i="28"/>
  <c r="I13" i="28"/>
  <c r="Q13" i="28"/>
  <c r="J13" i="28"/>
  <c r="R13" i="28"/>
  <c r="K13" i="28"/>
  <c r="S13" i="28"/>
  <c r="L13" i="28"/>
  <c r="T13" i="28"/>
  <c r="F14" i="28"/>
  <c r="N14" i="28"/>
  <c r="G14" i="28"/>
  <c r="O14" i="28"/>
  <c r="H14" i="28"/>
  <c r="P14" i="28"/>
  <c r="I14" i="28"/>
  <c r="Q14" i="28"/>
  <c r="J14" i="28"/>
  <c r="R14" i="28"/>
  <c r="K14" i="28"/>
  <c r="S14" i="28"/>
  <c r="L14" i="28"/>
  <c r="T14" i="28"/>
  <c r="F15" i="28"/>
  <c r="N15" i="28"/>
  <c r="G15" i="28"/>
  <c r="O15" i="28"/>
  <c r="H15" i="28"/>
  <c r="P15" i="28"/>
  <c r="I15" i="28"/>
  <c r="Q15" i="28"/>
  <c r="J15" i="28"/>
  <c r="R15" i="28"/>
  <c r="K15" i="28"/>
  <c r="S15" i="28"/>
  <c r="L15" i="28"/>
  <c r="T15" i="28"/>
  <c r="F16" i="28"/>
  <c r="N16" i="28"/>
  <c r="G16" i="28"/>
  <c r="O16" i="28"/>
  <c r="H16" i="28"/>
  <c r="P16" i="28"/>
  <c r="I16" i="28"/>
  <c r="Q16" i="28"/>
  <c r="J16" i="28"/>
  <c r="R16" i="28"/>
  <c r="K16" i="28"/>
  <c r="S16" i="28"/>
  <c r="L16" i="28"/>
  <c r="T16" i="28"/>
  <c r="F17" i="28"/>
  <c r="N17" i="28"/>
  <c r="G17" i="28"/>
  <c r="O17" i="28"/>
  <c r="H17" i="28"/>
  <c r="P17" i="28"/>
  <c r="I17" i="28"/>
  <c r="Q17" i="28"/>
  <c r="J17" i="28"/>
  <c r="R17" i="28"/>
  <c r="K17" i="28"/>
  <c r="S17" i="28"/>
  <c r="L17" i="28"/>
  <c r="T17" i="28"/>
  <c r="F18" i="28"/>
  <c r="N18" i="28"/>
  <c r="G18" i="28"/>
  <c r="O18" i="28"/>
  <c r="H18" i="28"/>
  <c r="P18" i="28"/>
  <c r="I18" i="28"/>
  <c r="Q18" i="28"/>
  <c r="J18" i="28"/>
  <c r="K18" i="28"/>
  <c r="S18" i="28"/>
  <c r="L18" i="28"/>
  <c r="T18" i="28"/>
  <c r="F19" i="28"/>
  <c r="N19" i="28"/>
  <c r="G19" i="28"/>
  <c r="O19" i="28"/>
  <c r="H19" i="28"/>
  <c r="P19" i="28"/>
  <c r="I19" i="28"/>
  <c r="Q19" i="28"/>
  <c r="J19" i="28"/>
  <c r="R19" i="28"/>
  <c r="K19" i="28"/>
  <c r="S19" i="28"/>
  <c r="L19" i="28"/>
  <c r="T19" i="28"/>
  <c r="F20" i="28"/>
  <c r="N20" i="28"/>
  <c r="G20" i="28"/>
  <c r="O20" i="28"/>
  <c r="H20" i="28"/>
  <c r="P20" i="28"/>
  <c r="I20" i="28"/>
  <c r="Q20" i="28"/>
  <c r="J20" i="28"/>
  <c r="R20" i="28"/>
  <c r="K20" i="28"/>
  <c r="S20" i="28"/>
  <c r="L20" i="28"/>
  <c r="T20" i="28"/>
  <c r="F21" i="28"/>
  <c r="N21" i="28"/>
  <c r="G21" i="28"/>
  <c r="O21" i="28"/>
  <c r="H21" i="28"/>
  <c r="P21" i="28"/>
  <c r="I21" i="28"/>
  <c r="Q21" i="28"/>
  <c r="J21" i="28"/>
  <c r="R21" i="28"/>
  <c r="K21" i="28"/>
  <c r="S21" i="28"/>
  <c r="L21" i="28"/>
  <c r="T21" i="28"/>
  <c r="F22" i="28"/>
  <c r="N22" i="28"/>
  <c r="G22" i="28"/>
  <c r="O22" i="28"/>
  <c r="H22" i="28"/>
  <c r="P22" i="28"/>
  <c r="I22" i="28"/>
  <c r="Q22" i="28"/>
  <c r="J22" i="28"/>
  <c r="R22" i="28"/>
  <c r="K22" i="28"/>
  <c r="S22" i="28"/>
  <c r="L22" i="28"/>
  <c r="T22" i="28"/>
  <c r="F23" i="28"/>
  <c r="N23" i="28"/>
  <c r="G23" i="28"/>
  <c r="O23" i="28"/>
  <c r="H23" i="28"/>
  <c r="P23" i="28"/>
  <c r="I23" i="28"/>
  <c r="Q23" i="28"/>
  <c r="J23" i="28"/>
  <c r="R23" i="28"/>
  <c r="K23" i="28"/>
  <c r="S23" i="28"/>
  <c r="L23" i="28"/>
  <c r="T23" i="28"/>
  <c r="F24" i="28"/>
  <c r="N24" i="28"/>
  <c r="G24" i="28"/>
  <c r="O24" i="28"/>
  <c r="H24" i="28"/>
  <c r="P24" i="28"/>
  <c r="I24" i="28"/>
  <c r="Q24" i="28"/>
  <c r="J24" i="28"/>
  <c r="R24" i="28"/>
  <c r="K24" i="28"/>
  <c r="S24" i="28"/>
  <c r="L24" i="28"/>
  <c r="T24" i="28"/>
  <c r="F25" i="28"/>
  <c r="N25" i="28"/>
  <c r="G25" i="28"/>
  <c r="O25" i="28"/>
  <c r="H25" i="28"/>
  <c r="P25" i="28"/>
  <c r="I25" i="28"/>
  <c r="Q25" i="28"/>
  <c r="J25" i="28"/>
  <c r="R25" i="28"/>
  <c r="K25" i="28"/>
  <c r="S25" i="28"/>
  <c r="L25" i="28"/>
  <c r="T25" i="28"/>
  <c r="F26" i="28"/>
  <c r="N26" i="28"/>
  <c r="G26" i="28"/>
  <c r="O26" i="28"/>
  <c r="H26" i="28"/>
  <c r="P26" i="28"/>
  <c r="I26" i="28"/>
  <c r="Q26" i="28"/>
  <c r="J26" i="28"/>
  <c r="R26" i="28"/>
  <c r="K26" i="28"/>
  <c r="S26" i="28"/>
  <c r="L26" i="28"/>
  <c r="T26" i="28"/>
  <c r="F27" i="28"/>
  <c r="N27" i="28"/>
  <c r="G27" i="28"/>
  <c r="O27" i="28"/>
  <c r="H27" i="28"/>
  <c r="P27" i="28"/>
  <c r="I27" i="28"/>
  <c r="Q27" i="28"/>
  <c r="J27" i="28"/>
  <c r="R27" i="28"/>
  <c r="K27" i="28"/>
  <c r="S27" i="28"/>
  <c r="L27" i="28"/>
  <c r="T27" i="28"/>
  <c r="F28" i="28"/>
  <c r="N28" i="28"/>
  <c r="G28" i="28"/>
  <c r="O28" i="28"/>
  <c r="H28" i="28"/>
  <c r="P28" i="28"/>
  <c r="I28" i="28"/>
  <c r="Q28" i="28"/>
  <c r="J28" i="28"/>
  <c r="R28" i="28"/>
  <c r="K28" i="28"/>
  <c r="S28" i="28"/>
  <c r="L28" i="28"/>
  <c r="T28" i="28"/>
  <c r="F29" i="28"/>
  <c r="N29" i="28"/>
  <c r="G29" i="28"/>
  <c r="O29" i="28"/>
  <c r="H29" i="28"/>
  <c r="P29" i="28"/>
  <c r="I29" i="28"/>
  <c r="J29" i="28"/>
  <c r="R29" i="28"/>
  <c r="K29" i="28"/>
  <c r="S29" i="28"/>
  <c r="L29" i="28"/>
  <c r="T29" i="28"/>
  <c r="F30" i="28"/>
  <c r="N30" i="28"/>
  <c r="G30" i="28"/>
  <c r="O30" i="28"/>
  <c r="H30" i="28"/>
  <c r="P30" i="28"/>
  <c r="I30" i="28"/>
  <c r="Q30" i="28"/>
  <c r="J30" i="28"/>
  <c r="R30" i="28"/>
  <c r="K30" i="28"/>
  <c r="S30" i="28"/>
  <c r="L30" i="28"/>
  <c r="T30" i="28"/>
  <c r="F31" i="28"/>
  <c r="N31" i="28"/>
  <c r="G31" i="28"/>
  <c r="O31" i="28"/>
  <c r="H31" i="28"/>
  <c r="P31" i="28"/>
  <c r="I31" i="28"/>
  <c r="Q31" i="28"/>
  <c r="J31" i="28"/>
  <c r="R31" i="28"/>
  <c r="K31" i="28"/>
  <c r="S31" i="28"/>
  <c r="L31" i="28"/>
  <c r="T31" i="28"/>
  <c r="L3" i="28"/>
  <c r="T3" i="28"/>
  <c r="K3" i="28"/>
  <c r="S3" i="28"/>
  <c r="S33" i="28"/>
  <c r="J3" i="28"/>
  <c r="R3" i="28"/>
  <c r="R33" i="28"/>
  <c r="I3" i="28"/>
  <c r="Q3" i="28"/>
  <c r="H3" i="28"/>
  <c r="P3" i="28"/>
  <c r="G3" i="28"/>
  <c r="O3" i="28"/>
  <c r="O33" i="28"/>
  <c r="F3" i="28"/>
  <c r="N3" i="28"/>
  <c r="E4" i="28"/>
  <c r="M4" i="28"/>
  <c r="E5" i="28"/>
  <c r="M5" i="28"/>
  <c r="E6" i="28"/>
  <c r="M6" i="28"/>
  <c r="E7" i="28"/>
  <c r="M7" i="28"/>
  <c r="E8" i="28"/>
  <c r="M8" i="28"/>
  <c r="E9" i="28"/>
  <c r="M9" i="28"/>
  <c r="E10" i="28"/>
  <c r="M10" i="28"/>
  <c r="E11" i="28"/>
  <c r="M11" i="28"/>
  <c r="E12" i="28"/>
  <c r="M12" i="28"/>
  <c r="E13" i="28"/>
  <c r="M13" i="28"/>
  <c r="E14" i="28"/>
  <c r="M14" i="28"/>
  <c r="E15" i="28"/>
  <c r="M15" i="28"/>
  <c r="E16" i="28"/>
  <c r="M16" i="28"/>
  <c r="E17" i="28"/>
  <c r="M17" i="28"/>
  <c r="E18" i="28"/>
  <c r="M18" i="28"/>
  <c r="E19" i="28"/>
  <c r="M19" i="28"/>
  <c r="E20" i="28"/>
  <c r="M20" i="28"/>
  <c r="E21" i="28"/>
  <c r="M21" i="28"/>
  <c r="E22" i="28"/>
  <c r="M22" i="28"/>
  <c r="E23" i="28"/>
  <c r="M23" i="28"/>
  <c r="E24" i="28"/>
  <c r="M24" i="28"/>
  <c r="E25" i="28"/>
  <c r="M25" i="28"/>
  <c r="E26" i="28"/>
  <c r="M26" i="28"/>
  <c r="E27" i="28"/>
  <c r="M27" i="28"/>
  <c r="E28" i="28"/>
  <c r="M28" i="28"/>
  <c r="E29" i="28"/>
  <c r="M29" i="28"/>
  <c r="E30" i="28"/>
  <c r="M30" i="28"/>
  <c r="E31" i="28"/>
  <c r="M31" i="28"/>
  <c r="E3" i="28"/>
  <c r="M3" i="28"/>
  <c r="Q34" i="28"/>
  <c r="Q33" i="28"/>
  <c r="M58" i="28"/>
  <c r="T37" i="28"/>
  <c r="F58" i="28"/>
  <c r="M37" i="28"/>
  <c r="I46" i="28"/>
  <c r="P37" i="28"/>
  <c r="K58" i="28"/>
  <c r="O34" i="28"/>
  <c r="R34" i="28"/>
  <c r="K46" i="28"/>
  <c r="R37" i="28"/>
  <c r="M33" i="28"/>
  <c r="M34" i="28"/>
  <c r="O36" i="28"/>
  <c r="R36" i="28"/>
  <c r="O35" i="28"/>
  <c r="N35" i="28"/>
  <c r="N36" i="28"/>
  <c r="T35" i="28"/>
  <c r="P34" i="28"/>
  <c r="Q36" i="28"/>
  <c r="R35" i="28"/>
  <c r="P33" i="28"/>
  <c r="S35" i="28"/>
  <c r="T33" i="28"/>
  <c r="T36" i="28"/>
  <c r="N34" i="28"/>
  <c r="Q35" i="28"/>
  <c r="M35" i="28"/>
  <c r="S36" i="28"/>
  <c r="P36" i="28"/>
  <c r="M36" i="28"/>
  <c r="N33" i="28"/>
  <c r="P35" i="28"/>
  <c r="T34" i="28"/>
  <c r="J52" i="28"/>
  <c r="E52" i="28"/>
  <c r="M52" i="28"/>
  <c r="F52" i="28"/>
  <c r="I58" i="28"/>
  <c r="K64" i="28"/>
  <c r="H46" i="28"/>
  <c r="J46" i="28"/>
  <c r="Q37" i="28"/>
  <c r="E64" i="28"/>
  <c r="M64" i="28"/>
  <c r="G46" i="28"/>
  <c r="L46" i="28"/>
  <c r="E120" i="6"/>
  <c r="E119" i="6"/>
  <c r="E118" i="6"/>
  <c r="E117" i="6"/>
  <c r="E116" i="6"/>
  <c r="E115" i="6"/>
  <c r="E114" i="6"/>
  <c r="E113" i="6"/>
  <c r="E112" i="6"/>
  <c r="E111" i="6"/>
  <c r="E109" i="6"/>
  <c r="E108" i="6"/>
  <c r="E107" i="6"/>
  <c r="E106" i="6"/>
  <c r="E105" i="6"/>
  <c r="E104" i="6"/>
  <c r="E103" i="6"/>
  <c r="E102" i="6"/>
  <c r="E101" i="6"/>
  <c r="E100" i="6"/>
  <c r="E99" i="6"/>
  <c r="E93" i="6"/>
  <c r="E98" i="6"/>
  <c r="E97" i="6"/>
  <c r="E96" i="6"/>
  <c r="E95" i="6"/>
  <c r="E94" i="6"/>
  <c r="E92" i="6"/>
  <c r="E91" i="6"/>
  <c r="E90" i="6"/>
  <c r="E89" i="6"/>
  <c r="E88" i="6"/>
  <c r="E82" i="6"/>
  <c r="E87" i="6"/>
  <c r="E86" i="6"/>
  <c r="E85" i="6"/>
  <c r="E84" i="6"/>
  <c r="E83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L52" i="28"/>
  <c r="S37" i="28"/>
  <c r="J64" i="28"/>
  <c r="G64" i="28"/>
  <c r="N37" i="28"/>
  <c r="U37" i="28"/>
  <c r="V37" i="28"/>
  <c r="I64" i="28"/>
  <c r="U36" i="28"/>
  <c r="V36" i="28"/>
  <c r="G52" i="28"/>
  <c r="L58" i="28"/>
  <c r="H64" i="28"/>
  <c r="O37" i="28"/>
  <c r="I52" i="28"/>
  <c r="L64" i="28"/>
  <c r="K52" i="28"/>
  <c r="G58" i="28"/>
  <c r="J58" i="28"/>
  <c r="U35" i="28"/>
  <c r="V35" i="28"/>
  <c r="P42" i="28"/>
  <c r="H52" i="28"/>
  <c r="H58" i="28"/>
  <c r="U34" i="28"/>
  <c r="V34" i="28"/>
  <c r="U33" i="28"/>
  <c r="I44" i="12"/>
  <c r="L44" i="12"/>
  <c r="I43" i="12"/>
  <c r="L43" i="12"/>
  <c r="H17" i="12"/>
  <c r="L17" i="12"/>
  <c r="Q15" i="22"/>
  <c r="H16" i="12"/>
  <c r="L16" i="12"/>
  <c r="Q14" i="22"/>
  <c r="H122" i="6"/>
  <c r="I122" i="6"/>
  <c r="J122" i="6"/>
  <c r="K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B122" i="6"/>
  <c r="AC122" i="6"/>
  <c r="F122" i="6"/>
  <c r="G122" i="6"/>
  <c r="E21" i="6"/>
  <c r="E122" i="6"/>
  <c r="E10" i="6"/>
  <c r="E7" i="6"/>
  <c r="E9" i="6"/>
  <c r="H3" i="12"/>
  <c r="B3" i="25"/>
  <c r="L3" i="12"/>
  <c r="Q22" i="22"/>
  <c r="H4" i="12"/>
  <c r="B4" i="25"/>
  <c r="L4" i="12"/>
  <c r="Q23" i="22"/>
  <c r="H5" i="12"/>
  <c r="B5" i="25"/>
  <c r="L5" i="12"/>
  <c r="Q24" i="22"/>
  <c r="H6" i="12"/>
  <c r="B6" i="25"/>
  <c r="L6" i="12"/>
  <c r="Q25" i="22"/>
  <c r="H7" i="12"/>
  <c r="B7" i="25"/>
  <c r="L7" i="12"/>
  <c r="E19" i="24"/>
  <c r="H19" i="24"/>
  <c r="Q26" i="22"/>
  <c r="H47" i="12"/>
  <c r="L47" i="12"/>
  <c r="Q28" i="22"/>
  <c r="H46" i="12"/>
  <c r="L46" i="12"/>
  <c r="H34" i="12"/>
  <c r="L34" i="12"/>
  <c r="H35" i="12"/>
  <c r="L35" i="12"/>
  <c r="H36" i="12"/>
  <c r="L36" i="12"/>
  <c r="H37" i="12"/>
  <c r="L37" i="12"/>
  <c r="H38" i="12"/>
  <c r="L38" i="12"/>
  <c r="H33" i="12"/>
  <c r="L33" i="12"/>
  <c r="E59" i="1"/>
  <c r="V30" i="22"/>
  <c r="E61" i="1"/>
  <c r="U30" i="22"/>
  <c r="E60" i="1"/>
  <c r="T30" i="22"/>
  <c r="H31" i="12"/>
  <c r="L31" i="12"/>
  <c r="R19" i="22"/>
  <c r="H55" i="12"/>
  <c r="L55" i="12"/>
  <c r="H30" i="12"/>
  <c r="L30" i="12"/>
  <c r="R18" i="22"/>
  <c r="H54" i="12"/>
  <c r="L54" i="12"/>
  <c r="H29" i="12"/>
  <c r="L29" i="12"/>
  <c r="R17" i="22"/>
  <c r="S17" i="22"/>
  <c r="H53" i="12"/>
  <c r="L53" i="12"/>
  <c r="H28" i="12"/>
  <c r="L28" i="12"/>
  <c r="R16" i="22"/>
  <c r="H52" i="12"/>
  <c r="L52" i="12"/>
  <c r="H27" i="12"/>
  <c r="L27" i="12"/>
  <c r="R15" i="22"/>
  <c r="H51" i="12"/>
  <c r="B13" i="25"/>
  <c r="L51" i="12"/>
  <c r="J13" i="22"/>
  <c r="H26" i="12"/>
  <c r="L26" i="12"/>
  <c r="R14" i="22"/>
  <c r="H50" i="12"/>
  <c r="L50" i="12"/>
  <c r="H25" i="12"/>
  <c r="L25" i="12"/>
  <c r="R13" i="22"/>
  <c r="H49" i="12"/>
  <c r="L49" i="12"/>
  <c r="H24" i="12"/>
  <c r="L24" i="12"/>
  <c r="R12" i="22"/>
  <c r="H48" i="12"/>
  <c r="B10" i="25"/>
  <c r="L48" i="12"/>
  <c r="Q29" i="22"/>
  <c r="H57" i="12"/>
  <c r="L57" i="12"/>
  <c r="H23" i="12"/>
  <c r="L23" i="12"/>
  <c r="R11" i="22"/>
  <c r="H58" i="12"/>
  <c r="L58" i="12"/>
  <c r="H22" i="12"/>
  <c r="L22" i="12"/>
  <c r="R10" i="22"/>
  <c r="H56" i="12"/>
  <c r="B18" i="25"/>
  <c r="L56" i="12"/>
  <c r="H21" i="12"/>
  <c r="L21" i="12"/>
  <c r="Q19" i="22"/>
  <c r="H20" i="12"/>
  <c r="L20" i="12"/>
  <c r="Q18" i="22"/>
  <c r="H19" i="12"/>
  <c r="L19" i="12"/>
  <c r="Q17" i="22"/>
  <c r="H18" i="12"/>
  <c r="L18" i="12"/>
  <c r="Q16" i="22"/>
  <c r="H15" i="12"/>
  <c r="L15" i="12"/>
  <c r="Q13" i="22"/>
  <c r="H14" i="12"/>
  <c r="L14" i="12"/>
  <c r="Q12" i="22"/>
  <c r="H13" i="12"/>
  <c r="L13" i="12"/>
  <c r="Q11" i="22"/>
  <c r="H12" i="12"/>
  <c r="L12" i="12"/>
  <c r="Q10" i="22"/>
  <c r="C4" i="21"/>
  <c r="D4" i="21"/>
  <c r="E4" i="21"/>
  <c r="F4" i="21"/>
  <c r="G4" i="21"/>
  <c r="H4" i="21"/>
  <c r="I4" i="21"/>
  <c r="J4" i="21"/>
  <c r="K4" i="21"/>
  <c r="L4" i="21"/>
  <c r="M4" i="21"/>
  <c r="N4" i="21"/>
  <c r="O4" i="21"/>
  <c r="P4" i="21"/>
  <c r="Q4" i="21"/>
  <c r="R4" i="21"/>
  <c r="S4" i="21"/>
  <c r="T4" i="21"/>
  <c r="U4" i="21"/>
  <c r="V4" i="21"/>
  <c r="W4" i="21"/>
  <c r="X4" i="21"/>
  <c r="X6" i="21"/>
  <c r="Y7" i="17"/>
  <c r="Y4" i="21"/>
  <c r="Z4" i="21"/>
  <c r="Z6" i="21"/>
  <c r="AA7" i="17"/>
  <c r="AA4" i="21"/>
  <c r="AB4" i="21"/>
  <c r="AC4" i="21"/>
  <c r="AD4" i="21"/>
  <c r="AE4" i="21"/>
  <c r="AF4" i="21"/>
  <c r="AG4" i="21"/>
  <c r="AH4" i="21"/>
  <c r="AH6" i="21"/>
  <c r="AI7" i="17"/>
  <c r="AI4" i="21"/>
  <c r="AJ4" i="21"/>
  <c r="AK4" i="21"/>
  <c r="AL4" i="21"/>
  <c r="AM4" i="21"/>
  <c r="AN4" i="21"/>
  <c r="AN6" i="21"/>
  <c r="AO7" i="17"/>
  <c r="AO4" i="21"/>
  <c r="AP4" i="21"/>
  <c r="AP6" i="21"/>
  <c r="AQ4" i="21"/>
  <c r="AR4" i="21"/>
  <c r="AS4" i="21"/>
  <c r="AT4" i="21"/>
  <c r="AU4" i="21"/>
  <c r="AV4" i="21"/>
  <c r="AV6" i="21"/>
  <c r="AW7" i="17"/>
  <c r="AW4" i="21"/>
  <c r="AX4" i="21"/>
  <c r="AX6" i="21"/>
  <c r="AY7" i="17"/>
  <c r="AY4" i="21"/>
  <c r="AZ4" i="21"/>
  <c r="BA4" i="21"/>
  <c r="BB4" i="21"/>
  <c r="BC4" i="21"/>
  <c r="BD4" i="21"/>
  <c r="BD6" i="21"/>
  <c r="BE7" i="17"/>
  <c r="BE4" i="21"/>
  <c r="C5" i="21"/>
  <c r="C6" i="21"/>
  <c r="D7" i="17"/>
  <c r="D5" i="21"/>
  <c r="E5" i="21"/>
  <c r="F5" i="21"/>
  <c r="G5" i="21"/>
  <c r="H5" i="21"/>
  <c r="I5" i="21"/>
  <c r="I6" i="21"/>
  <c r="J7" i="17"/>
  <c r="J5" i="21"/>
  <c r="K5" i="21"/>
  <c r="K6" i="21"/>
  <c r="L7" i="17"/>
  <c r="L5" i="21"/>
  <c r="M5" i="21"/>
  <c r="N5" i="21"/>
  <c r="O5" i="21"/>
  <c r="P5" i="21"/>
  <c r="Q5" i="21"/>
  <c r="Q6" i="21"/>
  <c r="R7" i="17"/>
  <c r="R5" i="21"/>
  <c r="S5" i="21"/>
  <c r="T5" i="21"/>
  <c r="U5" i="21"/>
  <c r="V5" i="21"/>
  <c r="W5" i="21"/>
  <c r="X5" i="21"/>
  <c r="Y5" i="21"/>
  <c r="Y6" i="21"/>
  <c r="Z7" i="17"/>
  <c r="Z5" i="21"/>
  <c r="AA5" i="21"/>
  <c r="AA6" i="21"/>
  <c r="AB7" i="17"/>
  <c r="AB5" i="21"/>
  <c r="AC5" i="21"/>
  <c r="AD5" i="21"/>
  <c r="AE5" i="21"/>
  <c r="AF5" i="21"/>
  <c r="AG5" i="21"/>
  <c r="AG6" i="21"/>
  <c r="AH7" i="17"/>
  <c r="AH5" i="21"/>
  <c r="AI5" i="21"/>
  <c r="AI6" i="21"/>
  <c r="AJ7" i="17"/>
  <c r="AJ5" i="21"/>
  <c r="AK5" i="21"/>
  <c r="AL5" i="21"/>
  <c r="AM5" i="21"/>
  <c r="AN5" i="21"/>
  <c r="AO5" i="21"/>
  <c r="AO6" i="21"/>
  <c r="AP7" i="17"/>
  <c r="AP5" i="21"/>
  <c r="AQ5" i="21"/>
  <c r="AQ6" i="21"/>
  <c r="AR7" i="17"/>
  <c r="AR5" i="21"/>
  <c r="AS5" i="21"/>
  <c r="AS6" i="21"/>
  <c r="AT7" i="17"/>
  <c r="AT5" i="21"/>
  <c r="AU5" i="21"/>
  <c r="AV5" i="21"/>
  <c r="AW5" i="21"/>
  <c r="AW6" i="21"/>
  <c r="AX5" i="21"/>
  <c r="AY5" i="21"/>
  <c r="AZ5" i="21"/>
  <c r="BA5" i="21"/>
  <c r="BB5" i="21"/>
  <c r="BC5" i="21"/>
  <c r="BD5" i="21"/>
  <c r="BE5" i="21"/>
  <c r="BE6" i="21"/>
  <c r="B5" i="21"/>
  <c r="B4" i="21"/>
  <c r="K21" i="22"/>
  <c r="BE9" i="21"/>
  <c r="BE10" i="21"/>
  <c r="BE11" i="21"/>
  <c r="BE12" i="21"/>
  <c r="BE70" i="21"/>
  <c r="BD9" i="21"/>
  <c r="BD10" i="21"/>
  <c r="BD11" i="21"/>
  <c r="BD12" i="21"/>
  <c r="BD70" i="21"/>
  <c r="BC9" i="21"/>
  <c r="BC10" i="21"/>
  <c r="BC11" i="21"/>
  <c r="BC12" i="21"/>
  <c r="BC70" i="21"/>
  <c r="BB9" i="21"/>
  <c r="BB10" i="21"/>
  <c r="BB11" i="21"/>
  <c r="BB12" i="21"/>
  <c r="BB70" i="21"/>
  <c r="BA9" i="21"/>
  <c r="BA10" i="21"/>
  <c r="BA11" i="21"/>
  <c r="BA12" i="21"/>
  <c r="BA70" i="21"/>
  <c r="AZ9" i="21"/>
  <c r="AZ10" i="21"/>
  <c r="AZ11" i="21"/>
  <c r="AZ12" i="21"/>
  <c r="AZ70" i="21"/>
  <c r="AY9" i="21"/>
  <c r="AY10" i="21"/>
  <c r="AY11" i="21"/>
  <c r="AY12" i="21"/>
  <c r="AY70" i="21"/>
  <c r="AX9" i="21"/>
  <c r="AX10" i="21"/>
  <c r="AX11" i="21"/>
  <c r="AX12" i="21"/>
  <c r="AX70" i="21"/>
  <c r="AW9" i="21"/>
  <c r="AW10" i="21"/>
  <c r="AW11" i="21"/>
  <c r="AW12" i="21"/>
  <c r="AW70" i="21"/>
  <c r="AV9" i="21"/>
  <c r="AV10" i="21"/>
  <c r="AV11" i="21"/>
  <c r="AV12" i="21"/>
  <c r="AV70" i="21"/>
  <c r="AU9" i="21"/>
  <c r="AU10" i="21"/>
  <c r="AU11" i="21"/>
  <c r="AU12" i="21"/>
  <c r="AU70" i="21"/>
  <c r="AT9" i="21"/>
  <c r="AT10" i="21"/>
  <c r="AT11" i="21"/>
  <c r="AT12" i="21"/>
  <c r="AT70" i="21"/>
  <c r="AS9" i="21"/>
  <c r="AS10" i="21"/>
  <c r="AS11" i="21"/>
  <c r="AS12" i="21"/>
  <c r="AS70" i="21"/>
  <c r="AR9" i="21"/>
  <c r="AR10" i="21"/>
  <c r="AR11" i="21"/>
  <c r="AR12" i="21"/>
  <c r="AR70" i="21"/>
  <c r="AQ9" i="21"/>
  <c r="AQ10" i="21"/>
  <c r="AQ11" i="21"/>
  <c r="AQ12" i="21"/>
  <c r="AQ70" i="21"/>
  <c r="AP9" i="21"/>
  <c r="AP10" i="21"/>
  <c r="AP11" i="21"/>
  <c r="AP12" i="21"/>
  <c r="AP70" i="21"/>
  <c r="AO9" i="21"/>
  <c r="AO10" i="21"/>
  <c r="AO11" i="21"/>
  <c r="AO12" i="21"/>
  <c r="AO70" i="21"/>
  <c r="AN9" i="21"/>
  <c r="AN10" i="21"/>
  <c r="AN11" i="21"/>
  <c r="AN12" i="21"/>
  <c r="AN70" i="21"/>
  <c r="AM9" i="21"/>
  <c r="AM10" i="21"/>
  <c r="AM11" i="21"/>
  <c r="AM12" i="21"/>
  <c r="AM70" i="21"/>
  <c r="AL9" i="21"/>
  <c r="AL10" i="21"/>
  <c r="AL11" i="21"/>
  <c r="AL12" i="21"/>
  <c r="AL70" i="21"/>
  <c r="AK9" i="21"/>
  <c r="AK10" i="21"/>
  <c r="AK11" i="21"/>
  <c r="AK12" i="21"/>
  <c r="AK70" i="21"/>
  <c r="AJ9" i="21"/>
  <c r="AJ10" i="21"/>
  <c r="AJ11" i="21"/>
  <c r="AJ12" i="21"/>
  <c r="AJ70" i="21"/>
  <c r="AI9" i="21"/>
  <c r="AI10" i="21"/>
  <c r="AI11" i="21"/>
  <c r="AI12" i="21"/>
  <c r="AI70" i="21"/>
  <c r="AH9" i="21"/>
  <c r="AH10" i="21"/>
  <c r="AH11" i="21"/>
  <c r="AH12" i="21"/>
  <c r="AH70" i="21"/>
  <c r="AG9" i="21"/>
  <c r="AG10" i="21"/>
  <c r="AG11" i="21"/>
  <c r="AG12" i="21"/>
  <c r="AG70" i="21"/>
  <c r="AF9" i="21"/>
  <c r="AF10" i="21"/>
  <c r="AF11" i="21"/>
  <c r="AF12" i="21"/>
  <c r="AF70" i="21"/>
  <c r="AE9" i="21"/>
  <c r="AE10" i="21"/>
  <c r="AE11" i="21"/>
  <c r="AE12" i="21"/>
  <c r="AE70" i="21"/>
  <c r="AD9" i="21"/>
  <c r="AD10" i="21"/>
  <c r="AD11" i="21"/>
  <c r="AD12" i="21"/>
  <c r="AD70" i="21"/>
  <c r="AC9" i="21"/>
  <c r="AC10" i="21"/>
  <c r="AC11" i="21"/>
  <c r="AC12" i="21"/>
  <c r="AC70" i="21"/>
  <c r="AB9" i="21"/>
  <c r="AB10" i="21"/>
  <c r="AB11" i="21"/>
  <c r="AB12" i="21"/>
  <c r="AB70" i="21"/>
  <c r="AA9" i="21"/>
  <c r="AA10" i="21"/>
  <c r="AA11" i="21"/>
  <c r="AA12" i="21"/>
  <c r="AA70" i="21"/>
  <c r="Z9" i="21"/>
  <c r="Z10" i="21"/>
  <c r="Z11" i="21"/>
  <c r="Z12" i="21"/>
  <c r="Z70" i="21"/>
  <c r="Y9" i="21"/>
  <c r="Y10" i="21"/>
  <c r="Y11" i="21"/>
  <c r="Y12" i="21"/>
  <c r="Y70" i="21"/>
  <c r="X9" i="21"/>
  <c r="X10" i="21"/>
  <c r="X11" i="21"/>
  <c r="X12" i="21"/>
  <c r="X70" i="21"/>
  <c r="W9" i="21"/>
  <c r="W10" i="21"/>
  <c r="W11" i="21"/>
  <c r="W12" i="21"/>
  <c r="W70" i="21"/>
  <c r="V9" i="21"/>
  <c r="V10" i="21"/>
  <c r="V11" i="21"/>
  <c r="V12" i="21"/>
  <c r="V70" i="21"/>
  <c r="U9" i="21"/>
  <c r="U10" i="21"/>
  <c r="U11" i="21"/>
  <c r="U12" i="21"/>
  <c r="U70" i="21"/>
  <c r="T9" i="21"/>
  <c r="T10" i="21"/>
  <c r="T11" i="21"/>
  <c r="T12" i="21"/>
  <c r="T70" i="21"/>
  <c r="S9" i="21"/>
  <c r="S10" i="21"/>
  <c r="S11" i="21"/>
  <c r="S12" i="21"/>
  <c r="S70" i="21"/>
  <c r="R9" i="21"/>
  <c r="R10" i="21"/>
  <c r="R11" i="21"/>
  <c r="R12" i="21"/>
  <c r="R70" i="21"/>
  <c r="Q9" i="21"/>
  <c r="Q10" i="21"/>
  <c r="Q11" i="21"/>
  <c r="Q12" i="21"/>
  <c r="Q70" i="21"/>
  <c r="P9" i="21"/>
  <c r="P10" i="21"/>
  <c r="P11" i="21"/>
  <c r="P12" i="21"/>
  <c r="P70" i="21"/>
  <c r="O9" i="21"/>
  <c r="O10" i="21"/>
  <c r="O11" i="21"/>
  <c r="O12" i="21"/>
  <c r="O70" i="21"/>
  <c r="N9" i="21"/>
  <c r="N10" i="21"/>
  <c r="N11" i="21"/>
  <c r="N12" i="21"/>
  <c r="N70" i="21"/>
  <c r="M9" i="21"/>
  <c r="M10" i="21"/>
  <c r="M11" i="21"/>
  <c r="M12" i="21"/>
  <c r="M70" i="21"/>
  <c r="L9" i="21"/>
  <c r="L10" i="21"/>
  <c r="L11" i="21"/>
  <c r="L12" i="21"/>
  <c r="L70" i="21"/>
  <c r="K9" i="21"/>
  <c r="K10" i="21"/>
  <c r="K11" i="21"/>
  <c r="K12" i="21"/>
  <c r="K70" i="21"/>
  <c r="J9" i="21"/>
  <c r="J10" i="21"/>
  <c r="J11" i="21"/>
  <c r="J12" i="21"/>
  <c r="J70" i="21"/>
  <c r="I9" i="21"/>
  <c r="I10" i="21"/>
  <c r="I11" i="21"/>
  <c r="I12" i="21"/>
  <c r="I70" i="21"/>
  <c r="H9" i="21"/>
  <c r="H10" i="21"/>
  <c r="H11" i="21"/>
  <c r="H12" i="21"/>
  <c r="H70" i="21"/>
  <c r="G9" i="21"/>
  <c r="G10" i="21"/>
  <c r="G11" i="21"/>
  <c r="G12" i="21"/>
  <c r="G70" i="21"/>
  <c r="F9" i="21"/>
  <c r="F10" i="21"/>
  <c r="F11" i="21"/>
  <c r="F12" i="21"/>
  <c r="F70" i="21"/>
  <c r="E9" i="21"/>
  <c r="E10" i="21"/>
  <c r="E11" i="21"/>
  <c r="E12" i="21"/>
  <c r="E70" i="21"/>
  <c r="D9" i="21"/>
  <c r="D10" i="21"/>
  <c r="D11" i="21"/>
  <c r="D12" i="21"/>
  <c r="D70" i="21"/>
  <c r="C9" i="21"/>
  <c r="C10" i="21"/>
  <c r="C11" i="21"/>
  <c r="C12" i="21"/>
  <c r="C70" i="21"/>
  <c r="B9" i="21"/>
  <c r="B10" i="21"/>
  <c r="B11" i="21"/>
  <c r="B12" i="21"/>
  <c r="B70" i="21"/>
  <c r="H41" i="12"/>
  <c r="L41" i="12"/>
  <c r="H42" i="12"/>
  <c r="L42" i="12"/>
  <c r="H40" i="12"/>
  <c r="L40" i="12"/>
  <c r="C2" i="25"/>
  <c r="C38" i="25"/>
  <c r="D2" i="25"/>
  <c r="D38" i="25"/>
  <c r="E2" i="25"/>
  <c r="E38" i="25"/>
  <c r="F2" i="25"/>
  <c r="F38" i="25"/>
  <c r="G2" i="25"/>
  <c r="G38" i="25"/>
  <c r="H2" i="25"/>
  <c r="H38" i="25"/>
  <c r="I2" i="25"/>
  <c r="I38" i="25"/>
  <c r="J2" i="25"/>
  <c r="J38" i="25"/>
  <c r="K2" i="25"/>
  <c r="K38" i="25"/>
  <c r="L1" i="25"/>
  <c r="L2" i="25"/>
  <c r="L38" i="25"/>
  <c r="M1" i="25"/>
  <c r="M2" i="25"/>
  <c r="M38" i="25"/>
  <c r="N1" i="25"/>
  <c r="N2" i="25"/>
  <c r="N38" i="25"/>
  <c r="O1" i="25"/>
  <c r="O2" i="25"/>
  <c r="O38" i="25"/>
  <c r="P1" i="25"/>
  <c r="P2" i="25"/>
  <c r="P38" i="25"/>
  <c r="Q1" i="25"/>
  <c r="Q2" i="25"/>
  <c r="Q38" i="25"/>
  <c r="C3" i="25"/>
  <c r="C5" i="25"/>
  <c r="D3" i="25"/>
  <c r="E3" i="25"/>
  <c r="E39" i="25"/>
  <c r="F3" i="25"/>
  <c r="F39" i="25"/>
  <c r="G3" i="25"/>
  <c r="G5" i="25"/>
  <c r="H3" i="25"/>
  <c r="H25" i="25"/>
  <c r="H61" i="25"/>
  <c r="I3" i="25"/>
  <c r="J3" i="25"/>
  <c r="J39" i="25"/>
  <c r="K3" i="25"/>
  <c r="K39" i="25"/>
  <c r="L3" i="25"/>
  <c r="L39" i="25"/>
  <c r="M3" i="25"/>
  <c r="M5" i="25"/>
  <c r="M41" i="25"/>
  <c r="N3" i="25"/>
  <c r="N39" i="25"/>
  <c r="O3" i="25"/>
  <c r="O5" i="25"/>
  <c r="O41" i="25"/>
  <c r="P3" i="25"/>
  <c r="P39" i="25"/>
  <c r="Q3" i="25"/>
  <c r="Q5" i="25"/>
  <c r="Q41" i="25"/>
  <c r="C4" i="25"/>
  <c r="D4" i="25"/>
  <c r="D40" i="25"/>
  <c r="E4" i="25"/>
  <c r="E6" i="25"/>
  <c r="E8" i="25"/>
  <c r="E44" i="25"/>
  <c r="F4" i="25"/>
  <c r="F26" i="25"/>
  <c r="G4" i="25"/>
  <c r="G40" i="25"/>
  <c r="H4" i="25"/>
  <c r="H6" i="25"/>
  <c r="I4" i="25"/>
  <c r="I40" i="25"/>
  <c r="K4" i="25"/>
  <c r="K40" i="25"/>
  <c r="L4" i="25"/>
  <c r="L6" i="25"/>
  <c r="L42" i="25"/>
  <c r="M4" i="25"/>
  <c r="N4" i="25"/>
  <c r="N40" i="25"/>
  <c r="O4" i="25"/>
  <c r="O40" i="25"/>
  <c r="P4" i="25"/>
  <c r="P6" i="25"/>
  <c r="Q4" i="25"/>
  <c r="Q6" i="25"/>
  <c r="Q42" i="25"/>
  <c r="L21" i="25"/>
  <c r="L57" i="25"/>
  <c r="M21" i="25"/>
  <c r="M57" i="25"/>
  <c r="N21" i="25"/>
  <c r="N57" i="25"/>
  <c r="O21" i="25"/>
  <c r="O57" i="25"/>
  <c r="P21" i="25"/>
  <c r="P57" i="25"/>
  <c r="Q21" i="25"/>
  <c r="Q57" i="25"/>
  <c r="L22" i="25"/>
  <c r="L58" i="25"/>
  <c r="M22" i="25"/>
  <c r="M58" i="25"/>
  <c r="N22" i="25"/>
  <c r="N58" i="25"/>
  <c r="O22" i="25"/>
  <c r="O58" i="25"/>
  <c r="P22" i="25"/>
  <c r="P58" i="25"/>
  <c r="Q22" i="25"/>
  <c r="Q58" i="25"/>
  <c r="L23" i="25"/>
  <c r="L59" i="25"/>
  <c r="M23" i="25"/>
  <c r="M59" i="25"/>
  <c r="N23" i="25"/>
  <c r="N59" i="25"/>
  <c r="O23" i="25"/>
  <c r="O59" i="25"/>
  <c r="P23" i="25"/>
  <c r="P59" i="25"/>
  <c r="Q23" i="25"/>
  <c r="Q59" i="25"/>
  <c r="C24" i="25"/>
  <c r="C60" i="25"/>
  <c r="D24" i="25"/>
  <c r="D60" i="25"/>
  <c r="E24" i="25"/>
  <c r="E60" i="25"/>
  <c r="F24" i="25"/>
  <c r="F60" i="25"/>
  <c r="G24" i="25"/>
  <c r="G60" i="25"/>
  <c r="H24" i="25"/>
  <c r="H60" i="25"/>
  <c r="I24" i="25"/>
  <c r="I60" i="25"/>
  <c r="J24" i="25"/>
  <c r="J60" i="25"/>
  <c r="K24" i="25"/>
  <c r="K60" i="25"/>
  <c r="L24" i="25"/>
  <c r="L60" i="25"/>
  <c r="M24" i="25"/>
  <c r="M60" i="25"/>
  <c r="N24" i="25"/>
  <c r="N60" i="25"/>
  <c r="O24" i="25"/>
  <c r="O60" i="25"/>
  <c r="P24" i="25"/>
  <c r="P60" i="25"/>
  <c r="Q24" i="25"/>
  <c r="Q60" i="25"/>
  <c r="L25" i="25"/>
  <c r="L61" i="25"/>
  <c r="M25" i="25"/>
  <c r="M61" i="25"/>
  <c r="N25" i="25"/>
  <c r="N61" i="25"/>
  <c r="O25" i="25"/>
  <c r="O61" i="25"/>
  <c r="P25" i="25"/>
  <c r="P61" i="25"/>
  <c r="Q25" i="25"/>
  <c r="Q61" i="25"/>
  <c r="E22" i="1"/>
  <c r="E25" i="6"/>
  <c r="E45" i="6"/>
  <c r="B24" i="25"/>
  <c r="B60" i="25"/>
  <c r="E24" i="6"/>
  <c r="B9" i="25"/>
  <c r="E23" i="6"/>
  <c r="E22" i="6"/>
  <c r="B20" i="25"/>
  <c r="E20" i="6"/>
  <c r="B56" i="25"/>
  <c r="E19" i="6"/>
  <c r="E18" i="6"/>
  <c r="B17" i="25"/>
  <c r="E17" i="6"/>
  <c r="E16" i="6"/>
  <c r="E15" i="6"/>
  <c r="B14" i="25"/>
  <c r="E14" i="6"/>
  <c r="E13" i="6"/>
  <c r="B12" i="25"/>
  <c r="B30" i="25"/>
  <c r="E12" i="6"/>
  <c r="B48" i="25"/>
  <c r="E11" i="6"/>
  <c r="E8" i="6"/>
  <c r="E6" i="6"/>
  <c r="E5" i="6"/>
  <c r="J32" i="22"/>
  <c r="E4" i="6"/>
  <c r="E3" i="6"/>
  <c r="E2" i="6"/>
  <c r="J51" i="22"/>
  <c r="J50" i="22"/>
  <c r="J48" i="22"/>
  <c r="J47" i="22"/>
  <c r="E51" i="22"/>
  <c r="E50" i="22"/>
  <c r="J31" i="22"/>
  <c r="E48" i="22"/>
  <c r="E47" i="22"/>
  <c r="L26" i="25"/>
  <c r="M26" i="25"/>
  <c r="N26" i="25"/>
  <c r="O26" i="25"/>
  <c r="P26" i="25"/>
  <c r="Q26" i="25"/>
  <c r="L27" i="25"/>
  <c r="M27" i="25"/>
  <c r="N27" i="25"/>
  <c r="O27" i="25"/>
  <c r="P27" i="25"/>
  <c r="Q27" i="25"/>
  <c r="L28" i="25"/>
  <c r="M28" i="25"/>
  <c r="N28" i="25"/>
  <c r="O28" i="25"/>
  <c r="P28" i="25"/>
  <c r="Q28" i="25"/>
  <c r="L29" i="25"/>
  <c r="M29" i="25"/>
  <c r="N29" i="25"/>
  <c r="O29" i="25"/>
  <c r="P29" i="25"/>
  <c r="Q29" i="25"/>
  <c r="L30" i="25"/>
  <c r="M30" i="25"/>
  <c r="N30" i="25"/>
  <c r="O30" i="25"/>
  <c r="P30" i="25"/>
  <c r="Q30" i="25"/>
  <c r="L31" i="25"/>
  <c r="M31" i="25"/>
  <c r="N31" i="25"/>
  <c r="O31" i="25"/>
  <c r="P31" i="25"/>
  <c r="Q31" i="25"/>
  <c r="L32" i="25"/>
  <c r="M32" i="25"/>
  <c r="N32" i="25"/>
  <c r="O32" i="25"/>
  <c r="P32" i="25"/>
  <c r="Q32" i="25"/>
  <c r="L33" i="25"/>
  <c r="M33" i="25"/>
  <c r="N33" i="25"/>
  <c r="O33" i="25"/>
  <c r="P33" i="25"/>
  <c r="Q33" i="25"/>
  <c r="L34" i="25"/>
  <c r="M34" i="25"/>
  <c r="N34" i="25"/>
  <c r="O34" i="25"/>
  <c r="P34" i="25"/>
  <c r="Q34" i="25"/>
  <c r="L35" i="25"/>
  <c r="M35" i="25"/>
  <c r="N35" i="25"/>
  <c r="O35" i="25"/>
  <c r="P35" i="25"/>
  <c r="Q35" i="25"/>
  <c r="L36" i="25"/>
  <c r="M36" i="25"/>
  <c r="N36" i="25"/>
  <c r="O36" i="25"/>
  <c r="P36" i="25"/>
  <c r="Q36" i="25"/>
  <c r="D37" i="25"/>
  <c r="E37" i="25"/>
  <c r="F37" i="25"/>
  <c r="G37" i="25"/>
  <c r="H37" i="25"/>
  <c r="I37" i="25"/>
  <c r="J37" i="25"/>
  <c r="K37" i="25"/>
  <c r="L37" i="25"/>
  <c r="M37" i="25"/>
  <c r="N37" i="25"/>
  <c r="O37" i="25"/>
  <c r="P37" i="25"/>
  <c r="Q37" i="25"/>
  <c r="C37" i="25"/>
  <c r="E56" i="1"/>
  <c r="B37" i="25"/>
  <c r="E23" i="1"/>
  <c r="V23" i="22"/>
  <c r="E24" i="1"/>
  <c r="V24" i="22"/>
  <c r="E25" i="1"/>
  <c r="E26" i="1"/>
  <c r="E79" i="1"/>
  <c r="E80" i="1"/>
  <c r="E81" i="1"/>
  <c r="V33" i="22"/>
  <c r="E82" i="1"/>
  <c r="V34" i="22"/>
  <c r="E83" i="1"/>
  <c r="V35" i="22"/>
  <c r="E84" i="1"/>
  <c r="E98" i="1"/>
  <c r="B13" i="21"/>
  <c r="C13" i="21"/>
  <c r="D13" i="21"/>
  <c r="E13" i="21"/>
  <c r="F13" i="21"/>
  <c r="G13" i="21"/>
  <c r="H13" i="21"/>
  <c r="I13" i="21"/>
  <c r="J13" i="21"/>
  <c r="K13" i="21"/>
  <c r="L13" i="21"/>
  <c r="M13" i="21"/>
  <c r="N13" i="21"/>
  <c r="O13" i="21"/>
  <c r="P13" i="21"/>
  <c r="Q13" i="21"/>
  <c r="R13" i="21"/>
  <c r="S13" i="21"/>
  <c r="T13" i="21"/>
  <c r="U13" i="21"/>
  <c r="V13" i="21"/>
  <c r="W13" i="21"/>
  <c r="X13" i="21"/>
  <c r="Y13" i="21"/>
  <c r="Z13" i="21"/>
  <c r="AA13" i="21"/>
  <c r="AB13" i="21"/>
  <c r="AC13" i="21"/>
  <c r="AD13" i="21"/>
  <c r="AE13" i="21"/>
  <c r="AF13" i="21"/>
  <c r="AG13" i="21"/>
  <c r="AH13" i="21"/>
  <c r="AI13" i="21"/>
  <c r="AJ13" i="21"/>
  <c r="AK13" i="21"/>
  <c r="AL13" i="21"/>
  <c r="AM13" i="21"/>
  <c r="AN13" i="21"/>
  <c r="AO13" i="21"/>
  <c r="AP13" i="21"/>
  <c r="AQ13" i="21"/>
  <c r="AR13" i="21"/>
  <c r="AS13" i="21"/>
  <c r="AT13" i="21"/>
  <c r="AU13" i="21"/>
  <c r="AV13" i="21"/>
  <c r="AW13" i="21"/>
  <c r="AX13" i="21"/>
  <c r="AY13" i="21"/>
  <c r="AZ13" i="21"/>
  <c r="BA13" i="21"/>
  <c r="BB13" i="21"/>
  <c r="BC13" i="21"/>
  <c r="BD13" i="21"/>
  <c r="BE13" i="21"/>
  <c r="B14" i="21"/>
  <c r="C14" i="21"/>
  <c r="D14" i="21"/>
  <c r="E14" i="21"/>
  <c r="F14" i="21"/>
  <c r="G14" i="21"/>
  <c r="H14" i="21"/>
  <c r="I14" i="21"/>
  <c r="J14" i="21"/>
  <c r="K14" i="21"/>
  <c r="L14" i="21"/>
  <c r="M14" i="21"/>
  <c r="N14" i="21"/>
  <c r="O14" i="21"/>
  <c r="P14" i="21"/>
  <c r="Q14" i="21"/>
  <c r="R14" i="21"/>
  <c r="S14" i="21"/>
  <c r="T14" i="21"/>
  <c r="U14" i="21"/>
  <c r="V14" i="21"/>
  <c r="W14" i="21"/>
  <c r="X14" i="21"/>
  <c r="Y14" i="21"/>
  <c r="Z14" i="21"/>
  <c r="AA14" i="21"/>
  <c r="AB14" i="21"/>
  <c r="AC14" i="21"/>
  <c r="AD14" i="21"/>
  <c r="AE14" i="21"/>
  <c r="AF14" i="21"/>
  <c r="AG14" i="21"/>
  <c r="AH14" i="21"/>
  <c r="AI14" i="21"/>
  <c r="AJ14" i="21"/>
  <c r="AK14" i="21"/>
  <c r="AL14" i="21"/>
  <c r="AM14" i="21"/>
  <c r="AN14" i="21"/>
  <c r="AO14" i="21"/>
  <c r="AP14" i="21"/>
  <c r="AQ14" i="21"/>
  <c r="AR14" i="21"/>
  <c r="AS14" i="21"/>
  <c r="AT14" i="21"/>
  <c r="AU14" i="21"/>
  <c r="AV14" i="21"/>
  <c r="AW14" i="21"/>
  <c r="AX14" i="21"/>
  <c r="AY14" i="21"/>
  <c r="AZ14" i="21"/>
  <c r="BA14" i="21"/>
  <c r="BB14" i="21"/>
  <c r="BC14" i="21"/>
  <c r="BD14" i="21"/>
  <c r="BE14" i="21"/>
  <c r="B8" i="21"/>
  <c r="B15" i="21"/>
  <c r="C8" i="21"/>
  <c r="C15" i="21"/>
  <c r="D8" i="21"/>
  <c r="D15" i="21"/>
  <c r="E8" i="21"/>
  <c r="E15" i="21"/>
  <c r="F8" i="21"/>
  <c r="F15" i="21"/>
  <c r="G8" i="21"/>
  <c r="G15" i="21"/>
  <c r="H8" i="21"/>
  <c r="H15" i="21"/>
  <c r="I8" i="21"/>
  <c r="I15" i="21"/>
  <c r="J8" i="21"/>
  <c r="J15" i="21"/>
  <c r="K8" i="21"/>
  <c r="K15" i="21"/>
  <c r="L8" i="21"/>
  <c r="L15" i="21"/>
  <c r="M8" i="21"/>
  <c r="M15" i="21"/>
  <c r="N8" i="21"/>
  <c r="N15" i="21"/>
  <c r="O8" i="21"/>
  <c r="O15" i="21"/>
  <c r="P8" i="21"/>
  <c r="P15" i="21"/>
  <c r="Q8" i="21"/>
  <c r="Q15" i="21"/>
  <c r="R8" i="21"/>
  <c r="R15" i="21"/>
  <c r="S8" i="21"/>
  <c r="S15" i="21"/>
  <c r="T8" i="21"/>
  <c r="T15" i="21"/>
  <c r="U8" i="21"/>
  <c r="U15" i="21"/>
  <c r="V8" i="21"/>
  <c r="V15" i="21"/>
  <c r="W8" i="21"/>
  <c r="W15" i="21"/>
  <c r="X8" i="21"/>
  <c r="X15" i="21"/>
  <c r="Y8" i="21"/>
  <c r="Y15" i="21"/>
  <c r="Z8" i="21"/>
  <c r="Z15" i="21"/>
  <c r="AA8" i="21"/>
  <c r="AA15" i="21"/>
  <c r="AB8" i="21"/>
  <c r="AB15" i="21"/>
  <c r="AC8" i="21"/>
  <c r="AC15" i="21"/>
  <c r="AD8" i="21"/>
  <c r="AD15" i="21"/>
  <c r="AE8" i="21"/>
  <c r="AE15" i="21"/>
  <c r="AF8" i="21"/>
  <c r="AF15" i="21"/>
  <c r="AG8" i="21"/>
  <c r="AG15" i="21"/>
  <c r="AH8" i="21"/>
  <c r="AH15" i="21"/>
  <c r="AI8" i="21"/>
  <c r="AI15" i="21"/>
  <c r="AJ8" i="21"/>
  <c r="AJ15" i="21"/>
  <c r="AK8" i="21"/>
  <c r="AK15" i="21"/>
  <c r="AL8" i="21"/>
  <c r="AL15" i="21"/>
  <c r="AM8" i="21"/>
  <c r="AM15" i="21"/>
  <c r="AN8" i="21"/>
  <c r="AN15" i="21"/>
  <c r="AO8" i="21"/>
  <c r="AO15" i="21"/>
  <c r="AP8" i="21"/>
  <c r="AP15" i="21"/>
  <c r="AQ8" i="21"/>
  <c r="AQ15" i="21"/>
  <c r="AR8" i="21"/>
  <c r="AR15" i="21"/>
  <c r="AS8" i="21"/>
  <c r="AS15" i="21"/>
  <c r="AT8" i="21"/>
  <c r="AT15" i="21"/>
  <c r="AU8" i="21"/>
  <c r="AU15" i="21"/>
  <c r="AV8" i="21"/>
  <c r="AV15" i="21"/>
  <c r="AW8" i="21"/>
  <c r="AW15" i="21"/>
  <c r="AX8" i="21"/>
  <c r="AX15" i="21"/>
  <c r="AY8" i="21"/>
  <c r="AY15" i="21"/>
  <c r="AZ8" i="21"/>
  <c r="AZ15" i="21"/>
  <c r="BA8" i="21"/>
  <c r="BA15" i="21"/>
  <c r="BB8" i="21"/>
  <c r="BB15" i="21"/>
  <c r="BC8" i="21"/>
  <c r="BC15" i="21"/>
  <c r="BD8" i="21"/>
  <c r="BD15" i="21"/>
  <c r="BE8" i="21"/>
  <c r="BE15" i="21"/>
  <c r="R29" i="22"/>
  <c r="R23" i="22"/>
  <c r="F17" i="24"/>
  <c r="I17" i="24"/>
  <c r="K17" i="24"/>
  <c r="F16" i="24"/>
  <c r="I16" i="24"/>
  <c r="G16" i="24"/>
  <c r="J16" i="24"/>
  <c r="G17" i="24"/>
  <c r="J17" i="24"/>
  <c r="F18" i="24"/>
  <c r="I18" i="24"/>
  <c r="K18" i="24"/>
  <c r="G18" i="24"/>
  <c r="J18" i="24"/>
  <c r="F19" i="24"/>
  <c r="I19" i="24"/>
  <c r="G19" i="24"/>
  <c r="J19" i="24"/>
  <c r="K19" i="24"/>
  <c r="G15" i="24"/>
  <c r="J15" i="24"/>
  <c r="F15" i="24"/>
  <c r="I15" i="24"/>
  <c r="K15" i="24"/>
  <c r="F3" i="24"/>
  <c r="I3" i="24"/>
  <c r="K3" i="24"/>
  <c r="G3" i="24"/>
  <c r="J3" i="24"/>
  <c r="F4" i="24"/>
  <c r="I4" i="24"/>
  <c r="K4" i="24"/>
  <c r="G4" i="24"/>
  <c r="J4" i="24"/>
  <c r="F5" i="24"/>
  <c r="I5" i="24"/>
  <c r="K5" i="24"/>
  <c r="G5" i="24"/>
  <c r="J5" i="24"/>
  <c r="F6" i="24"/>
  <c r="I6" i="24"/>
  <c r="G6" i="24"/>
  <c r="J6" i="24"/>
  <c r="F7" i="24"/>
  <c r="I7" i="24"/>
  <c r="K7" i="24"/>
  <c r="G7" i="24"/>
  <c r="J7" i="24"/>
  <c r="F8" i="24"/>
  <c r="I8" i="24"/>
  <c r="G8" i="24"/>
  <c r="J8" i="24"/>
  <c r="F9" i="24"/>
  <c r="I9" i="24"/>
  <c r="K9" i="24"/>
  <c r="G9" i="24"/>
  <c r="J9" i="24"/>
  <c r="F10" i="24"/>
  <c r="I10" i="24"/>
  <c r="G10" i="24"/>
  <c r="J10" i="24"/>
  <c r="F11" i="24"/>
  <c r="I11" i="24"/>
  <c r="G11" i="24"/>
  <c r="J11" i="24"/>
  <c r="K11" i="24"/>
  <c r="F12" i="24"/>
  <c r="I12" i="24"/>
  <c r="K12" i="24"/>
  <c r="G12" i="24"/>
  <c r="J12" i="24"/>
  <c r="F13" i="24"/>
  <c r="I13" i="24"/>
  <c r="G13" i="24"/>
  <c r="J13" i="24"/>
  <c r="K13" i="24"/>
  <c r="F14" i="24"/>
  <c r="I14" i="24"/>
  <c r="G14" i="24"/>
  <c r="J14" i="24"/>
  <c r="G2" i="24"/>
  <c r="J2" i="24"/>
  <c r="F2" i="24"/>
  <c r="I2" i="24"/>
  <c r="K2" i="24"/>
  <c r="K16" i="24"/>
  <c r="BF3" i="17"/>
  <c r="BE3" i="17"/>
  <c r="BD3" i="17"/>
  <c r="BC3" i="17"/>
  <c r="BB3" i="17"/>
  <c r="BA3" i="17"/>
  <c r="AZ3" i="17"/>
  <c r="AY3" i="17"/>
  <c r="AX3" i="17"/>
  <c r="AW3" i="17"/>
  <c r="AV3" i="17"/>
  <c r="AU3" i="17"/>
  <c r="AT3" i="17"/>
  <c r="AS3" i="17"/>
  <c r="AR3" i="17"/>
  <c r="AQ3" i="17"/>
  <c r="AP3" i="17"/>
  <c r="AO3" i="17"/>
  <c r="AN3" i="17"/>
  <c r="AM3" i="17"/>
  <c r="AL3" i="17"/>
  <c r="AK3" i="17"/>
  <c r="AJ3" i="17"/>
  <c r="AI3" i="17"/>
  <c r="AH3" i="17"/>
  <c r="AG3" i="17"/>
  <c r="AF3" i="17"/>
  <c r="AE3" i="17"/>
  <c r="AD3" i="17"/>
  <c r="AC3" i="17"/>
  <c r="AB3" i="17"/>
  <c r="AA3" i="17"/>
  <c r="Z3" i="17"/>
  <c r="Y3" i="17"/>
  <c r="X3" i="17"/>
  <c r="W3" i="17"/>
  <c r="V3" i="17"/>
  <c r="U3" i="17"/>
  <c r="T3" i="17"/>
  <c r="S3" i="17"/>
  <c r="R3" i="17"/>
  <c r="Q3" i="17"/>
  <c r="P3" i="17"/>
  <c r="O3" i="17"/>
  <c r="N3" i="17"/>
  <c r="M3" i="17"/>
  <c r="L3" i="17"/>
  <c r="K3" i="17"/>
  <c r="J3" i="17"/>
  <c r="I3" i="17"/>
  <c r="H3" i="17"/>
  <c r="G3" i="17"/>
  <c r="F3" i="17"/>
  <c r="E3" i="17"/>
  <c r="D3" i="17"/>
  <c r="C3" i="17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0" i="12"/>
  <c r="M9" i="12"/>
  <c r="E38" i="22"/>
  <c r="M8" i="12"/>
  <c r="M11" i="12"/>
  <c r="BE68" i="21"/>
  <c r="BD68" i="21"/>
  <c r="BC68" i="21"/>
  <c r="BB68" i="21"/>
  <c r="BA68" i="21"/>
  <c r="AZ68" i="21"/>
  <c r="AY68" i="21"/>
  <c r="AX68" i="21"/>
  <c r="AW68" i="21"/>
  <c r="AV68" i="21"/>
  <c r="AU68" i="21"/>
  <c r="AT68" i="21"/>
  <c r="AS68" i="21"/>
  <c r="AR68" i="21"/>
  <c r="AQ68" i="21"/>
  <c r="AP68" i="21"/>
  <c r="AO68" i="21"/>
  <c r="AN68" i="21"/>
  <c r="AM68" i="21"/>
  <c r="AL68" i="21"/>
  <c r="AK68" i="21"/>
  <c r="AJ68" i="21"/>
  <c r="AI68" i="21"/>
  <c r="AH68" i="21"/>
  <c r="AG68" i="21"/>
  <c r="AF68" i="21"/>
  <c r="AE68" i="21"/>
  <c r="AD68" i="21"/>
  <c r="AC68" i="21"/>
  <c r="AB68" i="21"/>
  <c r="AA68" i="21"/>
  <c r="Z68" i="21"/>
  <c r="Y68" i="21"/>
  <c r="X68" i="21"/>
  <c r="W68" i="21"/>
  <c r="V68" i="21"/>
  <c r="U68" i="21"/>
  <c r="T68" i="21"/>
  <c r="S68" i="21"/>
  <c r="R68" i="21"/>
  <c r="Q68" i="21"/>
  <c r="P68" i="21"/>
  <c r="O68" i="21"/>
  <c r="N68" i="21"/>
  <c r="M68" i="21"/>
  <c r="L68" i="21"/>
  <c r="K68" i="21"/>
  <c r="J68" i="21"/>
  <c r="I68" i="21"/>
  <c r="H68" i="21"/>
  <c r="G68" i="21"/>
  <c r="F68" i="21"/>
  <c r="E68" i="21"/>
  <c r="D68" i="21"/>
  <c r="C68" i="21"/>
  <c r="B68" i="21"/>
  <c r="BE56" i="21"/>
  <c r="BD56" i="21"/>
  <c r="BC56" i="21"/>
  <c r="BB56" i="21"/>
  <c r="BA56" i="21"/>
  <c r="AZ56" i="21"/>
  <c r="AY56" i="21"/>
  <c r="AX56" i="21"/>
  <c r="AW56" i="21"/>
  <c r="AV56" i="21"/>
  <c r="AU56" i="21"/>
  <c r="AT56" i="21"/>
  <c r="AS56" i="21"/>
  <c r="AR56" i="21"/>
  <c r="AQ56" i="21"/>
  <c r="AP56" i="21"/>
  <c r="AO56" i="21"/>
  <c r="AN56" i="21"/>
  <c r="AM56" i="21"/>
  <c r="AL56" i="21"/>
  <c r="AK56" i="21"/>
  <c r="AJ56" i="21"/>
  <c r="AI56" i="21"/>
  <c r="AH56" i="21"/>
  <c r="AG56" i="21"/>
  <c r="AF56" i="21"/>
  <c r="AE56" i="21"/>
  <c r="AC56" i="21"/>
  <c r="AB56" i="21"/>
  <c r="AA56" i="21"/>
  <c r="Z56" i="21"/>
  <c r="Y56" i="21"/>
  <c r="X56" i="21"/>
  <c r="W56" i="21"/>
  <c r="V56" i="21"/>
  <c r="U56" i="21"/>
  <c r="T56" i="21"/>
  <c r="S56" i="21"/>
  <c r="R56" i="21"/>
  <c r="Q56" i="21"/>
  <c r="P56" i="21"/>
  <c r="O56" i="21"/>
  <c r="N56" i="21"/>
  <c r="M56" i="21"/>
  <c r="L56" i="21"/>
  <c r="K56" i="21"/>
  <c r="J56" i="21"/>
  <c r="I56" i="21"/>
  <c r="H56" i="21"/>
  <c r="G56" i="21"/>
  <c r="F56" i="21"/>
  <c r="E56" i="21"/>
  <c r="D56" i="21"/>
  <c r="BE55" i="21"/>
  <c r="BD55" i="21"/>
  <c r="BC55" i="21"/>
  <c r="BB55" i="21"/>
  <c r="BA55" i="21"/>
  <c r="AZ55" i="21"/>
  <c r="AY55" i="21"/>
  <c r="AX55" i="21"/>
  <c r="AW55" i="21"/>
  <c r="AV55" i="21"/>
  <c r="AU55" i="21"/>
  <c r="AT55" i="21"/>
  <c r="AS55" i="21"/>
  <c r="AR55" i="21"/>
  <c r="AQ55" i="21"/>
  <c r="AP55" i="21"/>
  <c r="AO55" i="21"/>
  <c r="AN55" i="21"/>
  <c r="AM55" i="21"/>
  <c r="AL55" i="21"/>
  <c r="AK55" i="21"/>
  <c r="AJ55" i="21"/>
  <c r="AI55" i="21"/>
  <c r="AH55" i="21"/>
  <c r="AG55" i="21"/>
  <c r="AF55" i="21"/>
  <c r="AE55" i="21"/>
  <c r="AC55" i="21"/>
  <c r="AB55" i="21"/>
  <c r="AA55" i="21"/>
  <c r="Z55" i="21"/>
  <c r="Y55" i="21"/>
  <c r="X55" i="21"/>
  <c r="W55" i="21"/>
  <c r="V55" i="21"/>
  <c r="U55" i="21"/>
  <c r="T55" i="21"/>
  <c r="S55" i="21"/>
  <c r="R55" i="21"/>
  <c r="Q55" i="21"/>
  <c r="P55" i="21"/>
  <c r="O55" i="21"/>
  <c r="N55" i="21"/>
  <c r="M55" i="21"/>
  <c r="L55" i="21"/>
  <c r="K55" i="21"/>
  <c r="J55" i="21"/>
  <c r="I55" i="21"/>
  <c r="H55" i="21"/>
  <c r="G55" i="21"/>
  <c r="F55" i="21"/>
  <c r="E55" i="21"/>
  <c r="D55" i="21"/>
  <c r="BE54" i="21"/>
  <c r="BD54" i="21"/>
  <c r="BC54" i="21"/>
  <c r="BB54" i="21"/>
  <c r="BA54" i="21"/>
  <c r="AZ54" i="21"/>
  <c r="AY54" i="21"/>
  <c r="AX54" i="21"/>
  <c r="AW54" i="21"/>
  <c r="AV54" i="21"/>
  <c r="AU54" i="21"/>
  <c r="AT54" i="21"/>
  <c r="AS54" i="21"/>
  <c r="AR54" i="21"/>
  <c r="AQ54" i="21"/>
  <c r="AP54" i="21"/>
  <c r="AO54" i="21"/>
  <c r="AN54" i="21"/>
  <c r="AM54" i="21"/>
  <c r="AL54" i="21"/>
  <c r="AK54" i="21"/>
  <c r="AJ54" i="21"/>
  <c r="AI54" i="21"/>
  <c r="AH54" i="21"/>
  <c r="AG54" i="21"/>
  <c r="AF54" i="21"/>
  <c r="AE54" i="21"/>
  <c r="AC54" i="21"/>
  <c r="AB54" i="21"/>
  <c r="AA54" i="21"/>
  <c r="Z54" i="21"/>
  <c r="Y54" i="21"/>
  <c r="X54" i="21"/>
  <c r="V54" i="21"/>
  <c r="U54" i="21"/>
  <c r="T54" i="21"/>
  <c r="S54" i="21"/>
  <c r="R54" i="21"/>
  <c r="Q54" i="21"/>
  <c r="P54" i="21"/>
  <c r="O54" i="21"/>
  <c r="N54" i="21"/>
  <c r="N57" i="21"/>
  <c r="M54" i="21"/>
  <c r="L54" i="21"/>
  <c r="K54" i="21"/>
  <c r="J54" i="21"/>
  <c r="I54" i="21"/>
  <c r="H54" i="21"/>
  <c r="G54" i="21"/>
  <c r="F54" i="21"/>
  <c r="E54" i="21"/>
  <c r="D54" i="21"/>
  <c r="BE53" i="21"/>
  <c r="BD53" i="21"/>
  <c r="BC53" i="21"/>
  <c r="BB53" i="21"/>
  <c r="BA53" i="21"/>
  <c r="AZ53" i="21"/>
  <c r="AY53" i="21"/>
  <c r="AX53" i="21"/>
  <c r="AW53" i="21"/>
  <c r="AV53" i="21"/>
  <c r="AU53" i="21"/>
  <c r="AT53" i="21"/>
  <c r="AS53" i="21"/>
  <c r="AR53" i="21"/>
  <c r="AQ53" i="21"/>
  <c r="AP53" i="21"/>
  <c r="AO53" i="21"/>
  <c r="AN53" i="21"/>
  <c r="AM53" i="21"/>
  <c r="AL53" i="21"/>
  <c r="AK53" i="21"/>
  <c r="AJ53" i="21"/>
  <c r="AI53" i="21"/>
  <c r="AH53" i="21"/>
  <c r="AG53" i="21"/>
  <c r="AF53" i="21"/>
  <c r="AE53" i="21"/>
  <c r="AC53" i="21"/>
  <c r="AB53" i="21"/>
  <c r="AA53" i="21"/>
  <c r="AA57" i="21"/>
  <c r="Z53" i="21"/>
  <c r="Y53" i="21"/>
  <c r="X53" i="21"/>
  <c r="V53" i="21"/>
  <c r="U53" i="21"/>
  <c r="T53" i="21"/>
  <c r="S53" i="21"/>
  <c r="R53" i="21"/>
  <c r="Q53" i="21"/>
  <c r="P53" i="21"/>
  <c r="O53" i="21"/>
  <c r="N53" i="21"/>
  <c r="M53" i="21"/>
  <c r="L53" i="21"/>
  <c r="K53" i="21"/>
  <c r="J53" i="21"/>
  <c r="I53" i="21"/>
  <c r="H53" i="21"/>
  <c r="F53" i="21"/>
  <c r="E53" i="21"/>
  <c r="BE52" i="21"/>
  <c r="BD52" i="21"/>
  <c r="BC52" i="21"/>
  <c r="BA52" i="21"/>
  <c r="AX52" i="21"/>
  <c r="AU52" i="21"/>
  <c r="AT52" i="21"/>
  <c r="AO52" i="21"/>
  <c r="AJ52" i="21"/>
  <c r="AI52" i="21"/>
  <c r="AH52" i="21"/>
  <c r="AF52" i="21"/>
  <c r="AC52" i="21"/>
  <c r="AB52" i="21"/>
  <c r="AA52" i="21"/>
  <c r="X52" i="21"/>
  <c r="V52" i="21"/>
  <c r="U52" i="21"/>
  <c r="T52" i="21"/>
  <c r="R52" i="21"/>
  <c r="R57" i="21"/>
  <c r="Q52" i="21"/>
  <c r="P52" i="21"/>
  <c r="O52" i="21"/>
  <c r="N52" i="21"/>
  <c r="L52" i="21"/>
  <c r="K52" i="21"/>
  <c r="K57" i="21"/>
  <c r="H52" i="21"/>
  <c r="B56" i="21"/>
  <c r="B57" i="21"/>
  <c r="B55" i="21"/>
  <c r="B54" i="21"/>
  <c r="B53" i="21"/>
  <c r="B52" i="21"/>
  <c r="BE49" i="21"/>
  <c r="BD49" i="21"/>
  <c r="BC49" i="21"/>
  <c r="BB49" i="21"/>
  <c r="BA49" i="21"/>
  <c r="AZ49" i="21"/>
  <c r="AY49" i="21"/>
  <c r="AX49" i="21"/>
  <c r="AW49" i="21"/>
  <c r="AV49" i="21"/>
  <c r="AU49" i="21"/>
  <c r="AT49" i="21"/>
  <c r="AS49" i="21"/>
  <c r="AR49" i="21"/>
  <c r="AQ49" i="21"/>
  <c r="AP49" i="21"/>
  <c r="AO49" i="21"/>
  <c r="AN49" i="21"/>
  <c r="AM49" i="21"/>
  <c r="AL49" i="21"/>
  <c r="AK49" i="21"/>
  <c r="AJ49" i="21"/>
  <c r="AI49" i="21"/>
  <c r="AH49" i="21"/>
  <c r="AG49" i="21"/>
  <c r="AF49" i="21"/>
  <c r="AE49" i="21"/>
  <c r="AC49" i="21"/>
  <c r="AB49" i="21"/>
  <c r="AA49" i="21"/>
  <c r="Z49" i="21"/>
  <c r="Y49" i="21"/>
  <c r="X49" i="21"/>
  <c r="W49" i="21"/>
  <c r="V49" i="21"/>
  <c r="U49" i="21"/>
  <c r="T49" i="21"/>
  <c r="S49" i="21"/>
  <c r="R49" i="21"/>
  <c r="Q49" i="21"/>
  <c r="P49" i="21"/>
  <c r="O49" i="21"/>
  <c r="N49" i="21"/>
  <c r="M49" i="21"/>
  <c r="L49" i="21"/>
  <c r="K49" i="21"/>
  <c r="J49" i="21"/>
  <c r="I49" i="21"/>
  <c r="H49" i="21"/>
  <c r="G49" i="21"/>
  <c r="F49" i="21"/>
  <c r="E49" i="21"/>
  <c r="D49" i="21"/>
  <c r="BE48" i="21"/>
  <c r="BD48" i="21"/>
  <c r="BC48" i="21"/>
  <c r="BB48" i="21"/>
  <c r="BA48" i="21"/>
  <c r="AZ48" i="21"/>
  <c r="AY48" i="21"/>
  <c r="AX48" i="21"/>
  <c r="AW48" i="21"/>
  <c r="AV48" i="21"/>
  <c r="AU48" i="21"/>
  <c r="AT48" i="21"/>
  <c r="AS48" i="21"/>
  <c r="AR48" i="21"/>
  <c r="AQ48" i="21"/>
  <c r="AP48" i="21"/>
  <c r="AO48" i="21"/>
  <c r="AN48" i="21"/>
  <c r="AM48" i="21"/>
  <c r="AL48" i="21"/>
  <c r="AK48" i="21"/>
  <c r="AJ48" i="21"/>
  <c r="AI48" i="21"/>
  <c r="AH48" i="21"/>
  <c r="AG48" i="21"/>
  <c r="AF48" i="21"/>
  <c r="AE48" i="21"/>
  <c r="AC48" i="21"/>
  <c r="AB48" i="21"/>
  <c r="AA48" i="21"/>
  <c r="Z48" i="21"/>
  <c r="Y48" i="21"/>
  <c r="X48" i="21"/>
  <c r="W48" i="21"/>
  <c r="V48" i="21"/>
  <c r="U48" i="21"/>
  <c r="T48" i="21"/>
  <c r="S48" i="21"/>
  <c r="R48" i="21"/>
  <c r="Q48" i="21"/>
  <c r="P48" i="21"/>
  <c r="O48" i="21"/>
  <c r="N48" i="21"/>
  <c r="M48" i="21"/>
  <c r="L48" i="21"/>
  <c r="K48" i="21"/>
  <c r="J48" i="21"/>
  <c r="I48" i="21"/>
  <c r="H48" i="21"/>
  <c r="G48" i="21"/>
  <c r="F48" i="21"/>
  <c r="E48" i="21"/>
  <c r="D48" i="21"/>
  <c r="BE47" i="21"/>
  <c r="BD47" i="21"/>
  <c r="BC47" i="21"/>
  <c r="BB47" i="21"/>
  <c r="BA47" i="21"/>
  <c r="AZ47" i="21"/>
  <c r="AY47" i="21"/>
  <c r="AX47" i="21"/>
  <c r="AX50" i="21"/>
  <c r="AW47" i="21"/>
  <c r="AV47" i="21"/>
  <c r="AU47" i="21"/>
  <c r="AT47" i="21"/>
  <c r="AS47" i="21"/>
  <c r="AR47" i="21"/>
  <c r="AQ47" i="21"/>
  <c r="AP47" i="21"/>
  <c r="AO47" i="21"/>
  <c r="AN47" i="21"/>
  <c r="AM47" i="21"/>
  <c r="AL47" i="21"/>
  <c r="AK47" i="21"/>
  <c r="AJ47" i="21"/>
  <c r="AI47" i="21"/>
  <c r="AH47" i="21"/>
  <c r="AG47" i="21"/>
  <c r="AF47" i="21"/>
  <c r="AE47" i="21"/>
  <c r="AC47" i="21"/>
  <c r="AB47" i="21"/>
  <c r="AA47" i="21"/>
  <c r="Z47" i="21"/>
  <c r="Y47" i="21"/>
  <c r="X47" i="21"/>
  <c r="V47" i="21"/>
  <c r="U47" i="21"/>
  <c r="T47" i="21"/>
  <c r="S47" i="21"/>
  <c r="R47" i="21"/>
  <c r="Q47" i="21"/>
  <c r="P47" i="21"/>
  <c r="O47" i="21"/>
  <c r="N47" i="21"/>
  <c r="N50" i="21"/>
  <c r="M47" i="21"/>
  <c r="L47" i="21"/>
  <c r="K47" i="21"/>
  <c r="J47" i="21"/>
  <c r="I47" i="21"/>
  <c r="H47" i="21"/>
  <c r="G47" i="21"/>
  <c r="F47" i="21"/>
  <c r="E47" i="21"/>
  <c r="D47" i="21"/>
  <c r="BE46" i="21"/>
  <c r="BD46" i="21"/>
  <c r="BC46" i="21"/>
  <c r="BB46" i="21"/>
  <c r="BA46" i="21"/>
  <c r="AZ46" i="21"/>
  <c r="AY46" i="21"/>
  <c r="AX46" i="21"/>
  <c r="AW46" i="21"/>
  <c r="AV46" i="21"/>
  <c r="AU46" i="21"/>
  <c r="AT46" i="21"/>
  <c r="AS46" i="21"/>
  <c r="AR46" i="21"/>
  <c r="AQ46" i="21"/>
  <c r="AP46" i="21"/>
  <c r="AO46" i="21"/>
  <c r="AN46" i="21"/>
  <c r="AM46" i="21"/>
  <c r="AL46" i="21"/>
  <c r="AK46" i="21"/>
  <c r="AJ46" i="21"/>
  <c r="AI46" i="21"/>
  <c r="AH46" i="21"/>
  <c r="AG46" i="21"/>
  <c r="AF46" i="21"/>
  <c r="AE46" i="21"/>
  <c r="AC46" i="21"/>
  <c r="AB46" i="21"/>
  <c r="AA46" i="21"/>
  <c r="AA50" i="21"/>
  <c r="Z46" i="21"/>
  <c r="Y46" i="21"/>
  <c r="X46" i="21"/>
  <c r="V46" i="21"/>
  <c r="U46" i="21"/>
  <c r="T46" i="21"/>
  <c r="S46" i="21"/>
  <c r="R46" i="21"/>
  <c r="Q46" i="21"/>
  <c r="P46" i="21"/>
  <c r="O46" i="21"/>
  <c r="N46" i="21"/>
  <c r="M46" i="21"/>
  <c r="L46" i="21"/>
  <c r="K46" i="21"/>
  <c r="J46" i="21"/>
  <c r="I46" i="21"/>
  <c r="H46" i="21"/>
  <c r="F46" i="21"/>
  <c r="E46" i="21"/>
  <c r="BE45" i="21"/>
  <c r="BD45" i="21"/>
  <c r="BC45" i="21"/>
  <c r="BA45" i="21"/>
  <c r="AX45" i="21"/>
  <c r="AU45" i="21"/>
  <c r="AT45" i="21"/>
  <c r="AO45" i="21"/>
  <c r="AJ45" i="21"/>
  <c r="AI45" i="21"/>
  <c r="AH45" i="21"/>
  <c r="AF45" i="21"/>
  <c r="AC45" i="21"/>
  <c r="AB45" i="21"/>
  <c r="AA45" i="21"/>
  <c r="X45" i="21"/>
  <c r="V45" i="21"/>
  <c r="U45" i="21"/>
  <c r="T45" i="21"/>
  <c r="R45" i="21"/>
  <c r="R50" i="21"/>
  <c r="Q45" i="21"/>
  <c r="P45" i="21"/>
  <c r="O45" i="21"/>
  <c r="N45" i="21"/>
  <c r="L45" i="21"/>
  <c r="K45" i="21"/>
  <c r="K50" i="21"/>
  <c r="H45" i="21"/>
  <c r="B49" i="21"/>
  <c r="B50" i="21"/>
  <c r="B48" i="21"/>
  <c r="B47" i="21"/>
  <c r="B46" i="21"/>
  <c r="B45" i="21"/>
  <c r="BE42" i="21"/>
  <c r="BD42" i="21"/>
  <c r="BC42" i="21"/>
  <c r="BB42" i="21"/>
  <c r="BA42" i="21"/>
  <c r="AZ42" i="21"/>
  <c r="AY42" i="21"/>
  <c r="AX42" i="21"/>
  <c r="AW42" i="21"/>
  <c r="AV42" i="21"/>
  <c r="AU42" i="21"/>
  <c r="AT42" i="21"/>
  <c r="AS42" i="21"/>
  <c r="AR42" i="21"/>
  <c r="AQ42" i="21"/>
  <c r="AP42" i="21"/>
  <c r="AO42" i="21"/>
  <c r="AN42" i="21"/>
  <c r="AM42" i="21"/>
  <c r="AL42" i="21"/>
  <c r="AK42" i="21"/>
  <c r="AJ42" i="21"/>
  <c r="AI42" i="21"/>
  <c r="AH42" i="21"/>
  <c r="AG42" i="21"/>
  <c r="AF42" i="21"/>
  <c r="AE42" i="21"/>
  <c r="AC42" i="21"/>
  <c r="AB42" i="21"/>
  <c r="AA42" i="21"/>
  <c r="Z42" i="21"/>
  <c r="Y42" i="21"/>
  <c r="X42" i="21"/>
  <c r="W42" i="21"/>
  <c r="V42" i="21"/>
  <c r="U42" i="21"/>
  <c r="T42" i="21"/>
  <c r="S42" i="21"/>
  <c r="R42" i="21"/>
  <c r="Q42" i="21"/>
  <c r="P42" i="21"/>
  <c r="O42" i="21"/>
  <c r="N42" i="21"/>
  <c r="M42" i="21"/>
  <c r="L42" i="21"/>
  <c r="K42" i="21"/>
  <c r="J42" i="21"/>
  <c r="I42" i="21"/>
  <c r="H42" i="21"/>
  <c r="G42" i="21"/>
  <c r="F42" i="21"/>
  <c r="E42" i="21"/>
  <c r="D42" i="21"/>
  <c r="BE41" i="21"/>
  <c r="BD41" i="21"/>
  <c r="BC41" i="21"/>
  <c r="BB41" i="21"/>
  <c r="BA41" i="21"/>
  <c r="AZ41" i="21"/>
  <c r="AY41" i="21"/>
  <c r="AX41" i="21"/>
  <c r="AW41" i="21"/>
  <c r="AV41" i="21"/>
  <c r="AU41" i="21"/>
  <c r="AT41" i="21"/>
  <c r="AS41" i="21"/>
  <c r="AR41" i="21"/>
  <c r="AQ41" i="21"/>
  <c r="AP41" i="21"/>
  <c r="AO41" i="21"/>
  <c r="AN41" i="21"/>
  <c r="AM41" i="21"/>
  <c r="AL41" i="21"/>
  <c r="AK41" i="21"/>
  <c r="AJ41" i="21"/>
  <c r="AI41" i="21"/>
  <c r="AH41" i="21"/>
  <c r="AG41" i="21"/>
  <c r="AF41" i="21"/>
  <c r="AE41" i="21"/>
  <c r="AC41" i="21"/>
  <c r="AB41" i="21"/>
  <c r="AA41" i="21"/>
  <c r="Z41" i="21"/>
  <c r="Y41" i="21"/>
  <c r="X41" i="21"/>
  <c r="W41" i="21"/>
  <c r="V41" i="21"/>
  <c r="U41" i="21"/>
  <c r="T41" i="21"/>
  <c r="S41" i="21"/>
  <c r="R41" i="21"/>
  <c r="Q41" i="21"/>
  <c r="P41" i="21"/>
  <c r="O41" i="21"/>
  <c r="N41" i="21"/>
  <c r="M41" i="21"/>
  <c r="L41" i="21"/>
  <c r="K41" i="21"/>
  <c r="J41" i="21"/>
  <c r="I41" i="21"/>
  <c r="H41" i="21"/>
  <c r="G41" i="21"/>
  <c r="F41" i="21"/>
  <c r="E41" i="21"/>
  <c r="D41" i="21"/>
  <c r="BE40" i="21"/>
  <c r="BD40" i="21"/>
  <c r="BC40" i="21"/>
  <c r="BB40" i="21"/>
  <c r="BA40" i="21"/>
  <c r="AZ40" i="21"/>
  <c r="AY40" i="21"/>
  <c r="AX40" i="21"/>
  <c r="AX43" i="21"/>
  <c r="AY45" i="21"/>
  <c r="AW40" i="21"/>
  <c r="AV40" i="21"/>
  <c r="AU40" i="21"/>
  <c r="AT40" i="21"/>
  <c r="AS40" i="21"/>
  <c r="AR40" i="21"/>
  <c r="AQ40" i="21"/>
  <c r="AP40" i="21"/>
  <c r="AO40" i="21"/>
  <c r="AN40" i="21"/>
  <c r="AM40" i="21"/>
  <c r="AL40" i="21"/>
  <c r="AK40" i="21"/>
  <c r="AJ40" i="21"/>
  <c r="AI40" i="21"/>
  <c r="AH40" i="21"/>
  <c r="AG40" i="21"/>
  <c r="AF40" i="21"/>
  <c r="AE40" i="21"/>
  <c r="AC40" i="21"/>
  <c r="AB40" i="21"/>
  <c r="AA40" i="21"/>
  <c r="Z40" i="21"/>
  <c r="Y40" i="21"/>
  <c r="X40" i="21"/>
  <c r="V40" i="21"/>
  <c r="U40" i="21"/>
  <c r="T40" i="21"/>
  <c r="S40" i="21"/>
  <c r="R40" i="21"/>
  <c r="Q40" i="21"/>
  <c r="P40" i="21"/>
  <c r="P43" i="21"/>
  <c r="O40" i="21"/>
  <c r="N40" i="21"/>
  <c r="N43" i="21"/>
  <c r="M40" i="21"/>
  <c r="L40" i="21"/>
  <c r="K40" i="21"/>
  <c r="J40" i="21"/>
  <c r="I40" i="21"/>
  <c r="H40" i="21"/>
  <c r="G40" i="21"/>
  <c r="F40" i="21"/>
  <c r="E40" i="21"/>
  <c r="D40" i="21"/>
  <c r="BE39" i="21"/>
  <c r="BD39" i="21"/>
  <c r="BC39" i="21"/>
  <c r="BB39" i="21"/>
  <c r="BA39" i="21"/>
  <c r="AZ39" i="21"/>
  <c r="AY39" i="21"/>
  <c r="AX39" i="21"/>
  <c r="AW39" i="21"/>
  <c r="AV39" i="21"/>
  <c r="AU39" i="21"/>
  <c r="AT39" i="21"/>
  <c r="AS39" i="21"/>
  <c r="AR39" i="21"/>
  <c r="AQ39" i="21"/>
  <c r="AP39" i="21"/>
  <c r="AO39" i="21"/>
  <c r="AN39" i="21"/>
  <c r="AM39" i="21"/>
  <c r="AL39" i="21"/>
  <c r="AK39" i="21"/>
  <c r="AJ39" i="21"/>
  <c r="AI39" i="21"/>
  <c r="AH39" i="21"/>
  <c r="AG39" i="21"/>
  <c r="AF39" i="21"/>
  <c r="AE39" i="21"/>
  <c r="AC39" i="21"/>
  <c r="AB39" i="21"/>
  <c r="AA39" i="21"/>
  <c r="AA43" i="21"/>
  <c r="Z39" i="21"/>
  <c r="Y39" i="21"/>
  <c r="X39" i="21"/>
  <c r="V39" i="21"/>
  <c r="U39" i="21"/>
  <c r="T39" i="21"/>
  <c r="S39" i="21"/>
  <c r="R39" i="21"/>
  <c r="Q39" i="21"/>
  <c r="P39" i="21"/>
  <c r="O39" i="21"/>
  <c r="N39" i="21"/>
  <c r="M39" i="21"/>
  <c r="L39" i="21"/>
  <c r="K39" i="21"/>
  <c r="J39" i="21"/>
  <c r="I39" i="21"/>
  <c r="H39" i="21"/>
  <c r="F39" i="21"/>
  <c r="E39" i="21"/>
  <c r="BE38" i="21"/>
  <c r="BD38" i="21"/>
  <c r="BC38" i="21"/>
  <c r="BA38" i="21"/>
  <c r="AX38" i="21"/>
  <c r="AU38" i="21"/>
  <c r="AT38" i="21"/>
  <c r="AO38" i="21"/>
  <c r="AJ38" i="21"/>
  <c r="AI38" i="21"/>
  <c r="AH38" i="21"/>
  <c r="AF38" i="21"/>
  <c r="AC38" i="21"/>
  <c r="AB38" i="21"/>
  <c r="AA38" i="21"/>
  <c r="X38" i="21"/>
  <c r="V38" i="21"/>
  <c r="U38" i="21"/>
  <c r="T38" i="21"/>
  <c r="R38" i="21"/>
  <c r="R43" i="21"/>
  <c r="Q38" i="21"/>
  <c r="P38" i="21"/>
  <c r="O38" i="21"/>
  <c r="N38" i="21"/>
  <c r="L38" i="21"/>
  <c r="K38" i="21"/>
  <c r="H38" i="21"/>
  <c r="B39" i="21"/>
  <c r="B43" i="21"/>
  <c r="B40" i="21"/>
  <c r="B41" i="21"/>
  <c r="B42" i="21"/>
  <c r="B38" i="21"/>
  <c r="BE34" i="21"/>
  <c r="BD34" i="21"/>
  <c r="BC34" i="21"/>
  <c r="BB34" i="21"/>
  <c r="BA34" i="21"/>
  <c r="AZ34" i="21"/>
  <c r="AY34" i="21"/>
  <c r="AX34" i="21"/>
  <c r="AW34" i="21"/>
  <c r="AV34" i="21"/>
  <c r="AU34" i="21"/>
  <c r="AT34" i="21"/>
  <c r="AS34" i="21"/>
  <c r="AR34" i="21"/>
  <c r="AQ34" i="21"/>
  <c r="AP34" i="21"/>
  <c r="AO34" i="21"/>
  <c r="AN34" i="21"/>
  <c r="AM34" i="21"/>
  <c r="AL34" i="21"/>
  <c r="AK34" i="21"/>
  <c r="AJ34" i="21"/>
  <c r="AI34" i="21"/>
  <c r="AH34" i="21"/>
  <c r="AG34" i="21"/>
  <c r="AF34" i="21"/>
  <c r="AE34" i="21"/>
  <c r="AC34" i="21"/>
  <c r="AB34" i="21"/>
  <c r="AA34" i="21"/>
  <c r="Z34" i="21"/>
  <c r="Y34" i="21"/>
  <c r="X34" i="21"/>
  <c r="W34" i="21"/>
  <c r="V34" i="21"/>
  <c r="U34" i="21"/>
  <c r="T34" i="21"/>
  <c r="S34" i="21"/>
  <c r="R34" i="21"/>
  <c r="Q34" i="21"/>
  <c r="P34" i="21"/>
  <c r="O34" i="21"/>
  <c r="O36" i="21"/>
  <c r="N34" i="21"/>
  <c r="M34" i="21"/>
  <c r="L34" i="21"/>
  <c r="K34" i="21"/>
  <c r="J34" i="21"/>
  <c r="I34" i="21"/>
  <c r="H34" i="21"/>
  <c r="G34" i="21"/>
  <c r="F34" i="21"/>
  <c r="E34" i="21"/>
  <c r="D34" i="21"/>
  <c r="BE33" i="21"/>
  <c r="BD33" i="21"/>
  <c r="BC33" i="21"/>
  <c r="BB33" i="21"/>
  <c r="BA33" i="21"/>
  <c r="AZ33" i="21"/>
  <c r="AY33" i="21"/>
  <c r="AX33" i="21"/>
  <c r="AW33" i="21"/>
  <c r="AV33" i="21"/>
  <c r="AU33" i="21"/>
  <c r="AT33" i="21"/>
  <c r="AS33" i="21"/>
  <c r="AR33" i="21"/>
  <c r="AQ33" i="21"/>
  <c r="AP33" i="21"/>
  <c r="AO33" i="21"/>
  <c r="AN33" i="21"/>
  <c r="AM33" i="21"/>
  <c r="AL33" i="21"/>
  <c r="AK33" i="21"/>
  <c r="AJ33" i="21"/>
  <c r="AI33" i="21"/>
  <c r="AH33" i="21"/>
  <c r="AG33" i="21"/>
  <c r="AF33" i="21"/>
  <c r="AE33" i="21"/>
  <c r="AC33" i="21"/>
  <c r="AB33" i="21"/>
  <c r="AA33" i="21"/>
  <c r="Z33" i="21"/>
  <c r="Y33" i="21"/>
  <c r="X33" i="21"/>
  <c r="W33" i="21"/>
  <c r="V33" i="21"/>
  <c r="U33" i="21"/>
  <c r="T33" i="21"/>
  <c r="S33" i="21"/>
  <c r="R33" i="21"/>
  <c r="Q33" i="21"/>
  <c r="P33" i="21"/>
  <c r="O33" i="21"/>
  <c r="N33" i="21"/>
  <c r="M33" i="21"/>
  <c r="L33" i="21"/>
  <c r="K33" i="21"/>
  <c r="J33" i="21"/>
  <c r="I33" i="21"/>
  <c r="H33" i="21"/>
  <c r="G33" i="21"/>
  <c r="F33" i="21"/>
  <c r="E33" i="21"/>
  <c r="D33" i="21"/>
  <c r="BE32" i="21"/>
  <c r="BD32" i="21"/>
  <c r="BC32" i="21"/>
  <c r="BB32" i="21"/>
  <c r="BA32" i="21"/>
  <c r="AZ32" i="21"/>
  <c r="AY32" i="21"/>
  <c r="AX32" i="21"/>
  <c r="AX36" i="21"/>
  <c r="AW32" i="21"/>
  <c r="AV32" i="21"/>
  <c r="AU32" i="21"/>
  <c r="AT32" i="21"/>
  <c r="AS32" i="21"/>
  <c r="AR32" i="21"/>
  <c r="AQ32" i="21"/>
  <c r="AP32" i="21"/>
  <c r="AO32" i="21"/>
  <c r="AN32" i="21"/>
  <c r="AM32" i="21"/>
  <c r="AL32" i="21"/>
  <c r="AK32" i="21"/>
  <c r="AJ32" i="21"/>
  <c r="AI32" i="21"/>
  <c r="AH32" i="21"/>
  <c r="AG32" i="21"/>
  <c r="AF32" i="21"/>
  <c r="AE32" i="21"/>
  <c r="AC32" i="21"/>
  <c r="AB32" i="21"/>
  <c r="AA32" i="21"/>
  <c r="Z32" i="21"/>
  <c r="Y32" i="21"/>
  <c r="Y36" i="21"/>
  <c r="C38" i="21"/>
  <c r="X32" i="21"/>
  <c r="V32" i="21"/>
  <c r="U32" i="21"/>
  <c r="T32" i="21"/>
  <c r="S32" i="21"/>
  <c r="R32" i="21"/>
  <c r="Q32" i="21"/>
  <c r="Q36" i="21"/>
  <c r="P32" i="21"/>
  <c r="P36" i="21"/>
  <c r="O32" i="21"/>
  <c r="N32" i="21"/>
  <c r="N36" i="21"/>
  <c r="M32" i="21"/>
  <c r="L32" i="21"/>
  <c r="K32" i="21"/>
  <c r="J32" i="21"/>
  <c r="I32" i="21"/>
  <c r="H32" i="21"/>
  <c r="G32" i="21"/>
  <c r="F32" i="21"/>
  <c r="E32" i="21"/>
  <c r="D32" i="21"/>
  <c r="BE31" i="21"/>
  <c r="BD31" i="21"/>
  <c r="BC31" i="21"/>
  <c r="BB31" i="21"/>
  <c r="BA31" i="21"/>
  <c r="AZ31" i="21"/>
  <c r="AZ36" i="21"/>
  <c r="AZ60" i="21"/>
  <c r="AY31" i="21"/>
  <c r="AX31" i="21"/>
  <c r="AW31" i="21"/>
  <c r="AV31" i="21"/>
  <c r="AU31" i="21"/>
  <c r="AT31" i="21"/>
  <c r="AS31" i="21"/>
  <c r="AR31" i="21"/>
  <c r="AR36" i="21"/>
  <c r="AR60" i="21"/>
  <c r="AQ31" i="21"/>
  <c r="AP31" i="21"/>
  <c r="AO31" i="21"/>
  <c r="AN31" i="21"/>
  <c r="AM31" i="21"/>
  <c r="AL31" i="21"/>
  <c r="AK31" i="21"/>
  <c r="AJ31" i="21"/>
  <c r="AI31" i="21"/>
  <c r="AH31" i="21"/>
  <c r="AG31" i="21"/>
  <c r="AF31" i="21"/>
  <c r="AE31" i="21"/>
  <c r="AC31" i="21"/>
  <c r="AB31" i="21"/>
  <c r="AA31" i="21"/>
  <c r="AA36" i="21"/>
  <c r="AA60" i="21"/>
  <c r="Z31" i="21"/>
  <c r="Y31" i="21"/>
  <c r="X31" i="21"/>
  <c r="V31" i="21"/>
  <c r="U31" i="21"/>
  <c r="T31" i="21"/>
  <c r="S31" i="21"/>
  <c r="R31" i="21"/>
  <c r="Q31" i="21"/>
  <c r="P31" i="21"/>
  <c r="O31" i="21"/>
  <c r="N31" i="21"/>
  <c r="M31" i="21"/>
  <c r="L31" i="21"/>
  <c r="K31" i="21"/>
  <c r="J31" i="21"/>
  <c r="I31" i="21"/>
  <c r="H31" i="21"/>
  <c r="F31" i="21"/>
  <c r="E31" i="21"/>
  <c r="BE30" i="21"/>
  <c r="BD30" i="21"/>
  <c r="BC30" i="21"/>
  <c r="BA30" i="21"/>
  <c r="AX30" i="21"/>
  <c r="AU30" i="21"/>
  <c r="AT30" i="21"/>
  <c r="AO30" i="21"/>
  <c r="AJ30" i="21"/>
  <c r="AI30" i="21"/>
  <c r="AH30" i="21"/>
  <c r="AF30" i="21"/>
  <c r="AC30" i="21"/>
  <c r="AB30" i="21"/>
  <c r="AA30" i="21"/>
  <c r="X30" i="21"/>
  <c r="V30" i="21"/>
  <c r="U30" i="21"/>
  <c r="T30" i="21"/>
  <c r="R30" i="21"/>
  <c r="R36" i="21"/>
  <c r="R60" i="21"/>
  <c r="Q30" i="21"/>
  <c r="P30" i="21"/>
  <c r="O30" i="21"/>
  <c r="N30" i="21"/>
  <c r="L30" i="21"/>
  <c r="K30" i="21"/>
  <c r="H30" i="2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7" i="1"/>
  <c r="E71" i="1"/>
  <c r="E70" i="1"/>
  <c r="E69" i="1"/>
  <c r="E68" i="1"/>
  <c r="E67" i="1"/>
  <c r="E66" i="1"/>
  <c r="E65" i="1"/>
  <c r="E64" i="1"/>
  <c r="E63" i="1"/>
  <c r="E62" i="1"/>
  <c r="E53" i="1"/>
  <c r="E54" i="1"/>
  <c r="E52" i="1"/>
  <c r="E51" i="1"/>
  <c r="E50" i="1"/>
  <c r="E49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47" i="1"/>
  <c r="E46" i="1"/>
  <c r="E45" i="1"/>
  <c r="E44" i="1"/>
  <c r="E43" i="1"/>
  <c r="E42" i="1"/>
  <c r="E41" i="1"/>
  <c r="E40" i="1"/>
  <c r="T7" i="22"/>
  <c r="F16" i="21"/>
  <c r="F17" i="21"/>
  <c r="F59" i="21"/>
  <c r="J16" i="21"/>
  <c r="J17" i="21"/>
  <c r="J59" i="21"/>
  <c r="N16" i="21"/>
  <c r="R16" i="21"/>
  <c r="V16" i="21"/>
  <c r="Z16" i="21"/>
  <c r="Z17" i="21"/>
  <c r="AD16" i="21"/>
  <c r="AH16" i="21"/>
  <c r="AL16" i="21"/>
  <c r="AP16" i="21"/>
  <c r="AP17" i="21"/>
  <c r="AP59" i="21"/>
  <c r="AT16" i="21"/>
  <c r="AX16" i="21"/>
  <c r="BB16" i="21"/>
  <c r="R17" i="21"/>
  <c r="AL17" i="21"/>
  <c r="AL59" i="21"/>
  <c r="BB17" i="21"/>
  <c r="BB59" i="21"/>
  <c r="AX17" i="21"/>
  <c r="AH17" i="21"/>
  <c r="AH50" i="21"/>
  <c r="BB52" i="21"/>
  <c r="V17" i="21"/>
  <c r="V59" i="21"/>
  <c r="AK30" i="21"/>
  <c r="R59" i="21"/>
  <c r="AT17" i="21"/>
  <c r="D31" i="21"/>
  <c r="AD17" i="21"/>
  <c r="AD59" i="21"/>
  <c r="N17" i="21"/>
  <c r="AV30" i="21"/>
  <c r="Z59" i="21"/>
  <c r="Y30" i="21"/>
  <c r="W31" i="21"/>
  <c r="C31" i="21"/>
  <c r="I30" i="21"/>
  <c r="BC16" i="21"/>
  <c r="BC17" i="21"/>
  <c r="AY16" i="21"/>
  <c r="AY17" i="21"/>
  <c r="AU16" i="21"/>
  <c r="AU17" i="21"/>
  <c r="AQ16" i="21"/>
  <c r="AQ17" i="21"/>
  <c r="AQ59" i="21"/>
  <c r="AM16" i="21"/>
  <c r="AM17" i="21"/>
  <c r="AI16" i="21"/>
  <c r="AI17" i="21"/>
  <c r="AE16" i="21"/>
  <c r="AE17" i="21"/>
  <c r="AA16" i="21"/>
  <c r="AA17" i="21"/>
  <c r="W16" i="21"/>
  <c r="W17" i="21"/>
  <c r="W59" i="21"/>
  <c r="S16" i="21"/>
  <c r="S17" i="21"/>
  <c r="O16" i="21"/>
  <c r="O17" i="21"/>
  <c r="K16" i="21"/>
  <c r="K17" i="21"/>
  <c r="G16" i="21"/>
  <c r="G17" i="21"/>
  <c r="AZ16" i="21"/>
  <c r="AZ17" i="21"/>
  <c r="AZ59" i="21"/>
  <c r="AJ16" i="21"/>
  <c r="AJ17" i="21"/>
  <c r="T16" i="21"/>
  <c r="T17" i="21"/>
  <c r="BD16" i="21"/>
  <c r="BD17" i="21"/>
  <c r="AV16" i="21"/>
  <c r="AV17" i="21"/>
  <c r="AV59" i="21"/>
  <c r="AR16" i="21"/>
  <c r="AR17" i="21"/>
  <c r="AR59" i="21"/>
  <c r="AN16" i="21"/>
  <c r="AN17" i="21"/>
  <c r="AN59" i="21"/>
  <c r="AF16" i="21"/>
  <c r="AF17" i="21"/>
  <c r="AB16" i="21"/>
  <c r="AB17" i="21"/>
  <c r="X16" i="21"/>
  <c r="X17" i="21"/>
  <c r="P16" i="21"/>
  <c r="P17" i="21"/>
  <c r="L16" i="21"/>
  <c r="L17" i="21"/>
  <c r="H16" i="21"/>
  <c r="H17" i="21"/>
  <c r="BE16" i="21"/>
  <c r="BE17" i="21"/>
  <c r="BA16" i="21"/>
  <c r="BA17" i="21"/>
  <c r="AW16" i="21"/>
  <c r="AW17" i="21"/>
  <c r="AW59" i="21"/>
  <c r="AS16" i="21"/>
  <c r="AS17" i="21"/>
  <c r="AO16" i="21"/>
  <c r="AO17" i="21"/>
  <c r="AK16" i="21"/>
  <c r="AK17" i="21"/>
  <c r="AG16" i="21"/>
  <c r="AG17" i="21"/>
  <c r="AG59" i="21"/>
  <c r="AC16" i="21"/>
  <c r="AC17" i="21"/>
  <c r="Y16" i="21"/>
  <c r="Y17" i="21"/>
  <c r="Y59" i="21"/>
  <c r="U16" i="21"/>
  <c r="U17" i="21"/>
  <c r="Q16" i="21"/>
  <c r="Q17" i="21"/>
  <c r="M16" i="21"/>
  <c r="M17" i="21"/>
  <c r="M59" i="21"/>
  <c r="I16" i="21"/>
  <c r="I17" i="21"/>
  <c r="I59" i="21"/>
  <c r="C16" i="21"/>
  <c r="B16" i="21"/>
  <c r="D16" i="21"/>
  <c r="E16" i="21"/>
  <c r="AX59" i="21"/>
  <c r="AY30" i="21"/>
  <c r="BB30" i="21"/>
  <c r="AH59" i="21"/>
  <c r="J30" i="21"/>
  <c r="Q59" i="21"/>
  <c r="Q43" i="21"/>
  <c r="F45" i="21"/>
  <c r="L59" i="21"/>
  <c r="AF59" i="21"/>
  <c r="BD59" i="21"/>
  <c r="AD31" i="21"/>
  <c r="G59" i="21"/>
  <c r="AL30" i="21"/>
  <c r="AM59" i="21"/>
  <c r="BC59" i="21"/>
  <c r="U59" i="21"/>
  <c r="AK59" i="21"/>
  <c r="BA59" i="21"/>
  <c r="P59" i="21"/>
  <c r="T59" i="21"/>
  <c r="K59" i="21"/>
  <c r="AA59" i="21"/>
  <c r="N59" i="21"/>
  <c r="AO59" i="21"/>
  <c r="BE59" i="21"/>
  <c r="X59" i="21"/>
  <c r="AJ59" i="21"/>
  <c r="O59" i="21"/>
  <c r="AS30" i="21"/>
  <c r="AE59" i="21"/>
  <c r="AU59" i="21"/>
  <c r="AC59" i="21"/>
  <c r="AP30" i="21"/>
  <c r="AS59" i="21"/>
  <c r="H59" i="21"/>
  <c r="AB59" i="21"/>
  <c r="AD33" i="21"/>
  <c r="S59" i="21"/>
  <c r="AI59" i="21"/>
  <c r="AZ30" i="21"/>
  <c r="AY59" i="21"/>
  <c r="AG30" i="21"/>
  <c r="AT59" i="21"/>
  <c r="E17" i="21"/>
  <c r="E59" i="21"/>
  <c r="AM30" i="21"/>
  <c r="G30" i="21"/>
  <c r="Z30" i="21"/>
  <c r="D30" i="21"/>
  <c r="G31" i="21"/>
  <c r="B17" i="21"/>
  <c r="C33" i="21"/>
  <c r="AW30" i="21"/>
  <c r="AW36" i="21"/>
  <c r="AW60" i="21"/>
  <c r="AD32" i="21"/>
  <c r="W30" i="21"/>
  <c r="C30" i="21"/>
  <c r="AR30" i="21"/>
  <c r="C34" i="21"/>
  <c r="AE30" i="21"/>
  <c r="AE36" i="21"/>
  <c r="AD34" i="21"/>
  <c r="D17" i="21"/>
  <c r="D59" i="21"/>
  <c r="C17" i="21"/>
  <c r="C59" i="21"/>
  <c r="F30" i="21"/>
  <c r="S30" i="21"/>
  <c r="AQ30" i="21"/>
  <c r="AD30" i="21"/>
  <c r="M30" i="21"/>
  <c r="AN30" i="21"/>
  <c r="D8" i="22"/>
  <c r="C5" i="17"/>
  <c r="BE5" i="17"/>
  <c r="BF6" i="17"/>
  <c r="BE6" i="17"/>
  <c r="BD6" i="17"/>
  <c r="BC6" i="17"/>
  <c r="BB6" i="17"/>
  <c r="BA6" i="17"/>
  <c r="AZ6" i="17"/>
  <c r="AY6" i="17"/>
  <c r="AX6" i="17"/>
  <c r="AW6" i="17"/>
  <c r="AV6" i="17"/>
  <c r="AU6" i="17"/>
  <c r="AT6" i="17"/>
  <c r="AS6" i="17"/>
  <c r="AR6" i="17"/>
  <c r="AQ6" i="17"/>
  <c r="AP6" i="17"/>
  <c r="AO6" i="17"/>
  <c r="AN6" i="17"/>
  <c r="AM6" i="17"/>
  <c r="AL6" i="17"/>
  <c r="AK6" i="17"/>
  <c r="AJ6" i="17"/>
  <c r="AI6" i="17"/>
  <c r="AH6" i="17"/>
  <c r="AG6" i="17"/>
  <c r="AF6" i="17"/>
  <c r="AE6" i="17"/>
  <c r="AD6" i="17"/>
  <c r="AC6" i="17"/>
  <c r="AB6" i="17"/>
  <c r="AA6" i="17"/>
  <c r="Z6" i="17"/>
  <c r="Y6" i="17"/>
  <c r="X6" i="17"/>
  <c r="W6" i="17"/>
  <c r="V6" i="17"/>
  <c r="U6" i="17"/>
  <c r="T6" i="17"/>
  <c r="S6" i="17"/>
  <c r="R6" i="17"/>
  <c r="Q6" i="17"/>
  <c r="P6" i="17"/>
  <c r="O6" i="17"/>
  <c r="N6" i="17"/>
  <c r="M6" i="17"/>
  <c r="L6" i="17"/>
  <c r="K6" i="17"/>
  <c r="J6" i="17"/>
  <c r="I6" i="17"/>
  <c r="H6" i="17"/>
  <c r="G6" i="17"/>
  <c r="F6" i="17"/>
  <c r="E6" i="17"/>
  <c r="D6" i="17"/>
  <c r="BF5" i="17"/>
  <c r="BD5" i="17"/>
  <c r="BC5" i="17"/>
  <c r="BB5" i="17"/>
  <c r="BA5" i="17"/>
  <c r="AZ5" i="17"/>
  <c r="AY5" i="17"/>
  <c r="AX5" i="17"/>
  <c r="AW5" i="17"/>
  <c r="AV5" i="17"/>
  <c r="AU5" i="17"/>
  <c r="AT5" i="17"/>
  <c r="AS5" i="17"/>
  <c r="AR5" i="17"/>
  <c r="AQ5" i="17"/>
  <c r="AP5" i="17"/>
  <c r="AO5" i="17"/>
  <c r="AN5" i="17"/>
  <c r="AM5" i="17"/>
  <c r="AL5" i="17"/>
  <c r="AK5" i="17"/>
  <c r="AJ5" i="17"/>
  <c r="AI5" i="17"/>
  <c r="AH5" i="17"/>
  <c r="AG5" i="17"/>
  <c r="AF5" i="17"/>
  <c r="AE5" i="17"/>
  <c r="AD5" i="17"/>
  <c r="AC5" i="17"/>
  <c r="AB5" i="17"/>
  <c r="AA5" i="17"/>
  <c r="Z5" i="17"/>
  <c r="Y5" i="17"/>
  <c r="X5" i="17"/>
  <c r="W5" i="17"/>
  <c r="V5" i="17"/>
  <c r="U5" i="17"/>
  <c r="T5" i="17"/>
  <c r="S5" i="17"/>
  <c r="R5" i="17"/>
  <c r="Q5" i="17"/>
  <c r="P5" i="17"/>
  <c r="O5" i="17"/>
  <c r="N5" i="17"/>
  <c r="M5" i="17"/>
  <c r="L5" i="17"/>
  <c r="K5" i="17"/>
  <c r="J5" i="17"/>
  <c r="I5" i="17"/>
  <c r="H5" i="17"/>
  <c r="G5" i="17"/>
  <c r="F5" i="17"/>
  <c r="E5" i="17"/>
  <c r="D5" i="17"/>
  <c r="C6" i="17"/>
  <c r="K23" i="22"/>
  <c r="K22" i="22"/>
  <c r="K20" i="22"/>
  <c r="K19" i="22"/>
  <c r="K18" i="22"/>
  <c r="K17" i="22"/>
  <c r="K16" i="22"/>
  <c r="K15" i="22"/>
  <c r="K14" i="22"/>
  <c r="K13" i="22"/>
  <c r="K12" i="22"/>
  <c r="K11" i="22"/>
  <c r="K10" i="22"/>
  <c r="K9" i="22"/>
  <c r="K8" i="22"/>
  <c r="K7" i="22"/>
  <c r="L7" i="22"/>
  <c r="G18" i="22"/>
  <c r="F18" i="22"/>
  <c r="E18" i="22"/>
  <c r="D18" i="22"/>
  <c r="G17" i="22"/>
  <c r="F17" i="22"/>
  <c r="E17" i="22"/>
  <c r="D17" i="22"/>
  <c r="G16" i="22"/>
  <c r="F16" i="22"/>
  <c r="E16" i="22"/>
  <c r="D16" i="22"/>
  <c r="G15" i="22"/>
  <c r="F15" i="22"/>
  <c r="E15" i="22"/>
  <c r="D15" i="22"/>
  <c r="G11" i="22"/>
  <c r="F11" i="22"/>
  <c r="E11" i="22"/>
  <c r="D11" i="22"/>
  <c r="G10" i="22"/>
  <c r="F10" i="22"/>
  <c r="E10" i="22"/>
  <c r="D10" i="22"/>
  <c r="G9" i="22"/>
  <c r="F9" i="22"/>
  <c r="E9" i="22"/>
  <c r="D9" i="22"/>
  <c r="G8" i="22"/>
  <c r="F8" i="22"/>
  <c r="E8" i="22"/>
  <c r="G25" i="22"/>
  <c r="F25" i="22"/>
  <c r="E25" i="22"/>
  <c r="D25" i="22"/>
  <c r="G24" i="22"/>
  <c r="F24" i="22"/>
  <c r="E24" i="22"/>
  <c r="D24" i="22"/>
  <c r="G23" i="22"/>
  <c r="F23" i="22"/>
  <c r="E23" i="22"/>
  <c r="D23" i="22"/>
  <c r="G22" i="22"/>
  <c r="F22" i="22"/>
  <c r="E22" i="22"/>
  <c r="D22" i="22"/>
  <c r="B36" i="21"/>
  <c r="B59" i="21"/>
  <c r="W38" i="21"/>
  <c r="Q60" i="21"/>
  <c r="E30" i="21"/>
  <c r="W32" i="21"/>
  <c r="C32" i="21"/>
  <c r="F6" i="21"/>
  <c r="G7" i="17"/>
  <c r="AF6" i="21"/>
  <c r="AG7" i="17"/>
  <c r="H6" i="21"/>
  <c r="I7" i="17"/>
  <c r="E6" i="21"/>
  <c r="BC6" i="21"/>
  <c r="BD7" i="17"/>
  <c r="W6" i="21"/>
  <c r="X7" i="17"/>
  <c r="BA6" i="21"/>
  <c r="AK6" i="21"/>
  <c r="U6" i="21"/>
  <c r="V7" i="17"/>
  <c r="M6" i="21"/>
  <c r="N7" i="17"/>
  <c r="AZ6" i="21"/>
  <c r="BA7" i="17"/>
  <c r="AB6" i="21"/>
  <c r="AC7" i="17"/>
  <c r="T6" i="21"/>
  <c r="I58" i="12"/>
  <c r="I57" i="12"/>
  <c r="I56" i="12"/>
  <c r="I55" i="12"/>
  <c r="I54" i="12"/>
  <c r="I53" i="12"/>
  <c r="I52" i="12"/>
  <c r="I51" i="12"/>
  <c r="I50" i="12"/>
  <c r="I49" i="12"/>
  <c r="I48" i="12"/>
  <c r="I47" i="12"/>
  <c r="I46" i="12"/>
  <c r="I42" i="12"/>
  <c r="I41" i="12"/>
  <c r="I40" i="12"/>
  <c r="I38" i="12"/>
  <c r="I37" i="12"/>
  <c r="I36" i="12"/>
  <c r="I35" i="12"/>
  <c r="I34" i="12"/>
  <c r="I33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I12" i="12"/>
  <c r="I11" i="12"/>
  <c r="I10" i="12"/>
  <c r="I9" i="12"/>
  <c r="I8" i="12"/>
  <c r="I7" i="12"/>
  <c r="I6" i="12"/>
  <c r="I5" i="12"/>
  <c r="I4" i="12"/>
  <c r="I3" i="12"/>
  <c r="E4" i="24"/>
  <c r="H4" i="24"/>
  <c r="H44" i="12"/>
  <c r="H43" i="12"/>
  <c r="H11" i="12"/>
  <c r="H10" i="12"/>
  <c r="L10" i="12"/>
  <c r="J23" i="22"/>
  <c r="H9" i="12"/>
  <c r="L9" i="12"/>
  <c r="J22" i="22"/>
  <c r="L22" i="22"/>
  <c r="H8" i="12"/>
  <c r="L8" i="12"/>
  <c r="Q7" i="22"/>
  <c r="J21" i="22"/>
  <c r="L21" i="22"/>
  <c r="E16" i="24"/>
  <c r="H16" i="24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" i="12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27" i="6"/>
  <c r="E74" i="1"/>
  <c r="E75" i="1"/>
  <c r="E76" i="1"/>
  <c r="E77" i="1"/>
  <c r="E78" i="1"/>
  <c r="V31" i="22"/>
  <c r="V32" i="22"/>
  <c r="V36" i="22"/>
  <c r="E85" i="1"/>
  <c r="T31" i="22"/>
  <c r="E86" i="1"/>
  <c r="T32" i="22"/>
  <c r="E87" i="1"/>
  <c r="T33" i="22"/>
  <c r="E88" i="1"/>
  <c r="T34" i="22"/>
  <c r="E89" i="1"/>
  <c r="T35" i="22"/>
  <c r="E90" i="1"/>
  <c r="T36" i="22"/>
  <c r="E91" i="1"/>
  <c r="U31" i="22"/>
  <c r="E92" i="1"/>
  <c r="U32" i="22"/>
  <c r="E93" i="1"/>
  <c r="U33" i="22"/>
  <c r="E94" i="1"/>
  <c r="U34" i="22"/>
  <c r="E95" i="1"/>
  <c r="U35" i="22"/>
  <c r="E96" i="1"/>
  <c r="U36" i="22"/>
  <c r="E73" i="1"/>
  <c r="E57" i="1"/>
  <c r="E58" i="1"/>
  <c r="E2" i="1"/>
  <c r="E3" i="1"/>
  <c r="E4" i="1"/>
  <c r="E5" i="1"/>
  <c r="E6" i="1"/>
  <c r="E7" i="1"/>
  <c r="E8" i="1"/>
  <c r="E9" i="1"/>
  <c r="U23" i="22"/>
  <c r="E10" i="1"/>
  <c r="E11" i="1"/>
  <c r="U24" i="22"/>
  <c r="E12" i="1"/>
  <c r="E13" i="1"/>
  <c r="E14" i="1"/>
  <c r="E15" i="1"/>
  <c r="E16" i="1"/>
  <c r="E17" i="1"/>
  <c r="T22" i="22"/>
  <c r="E18" i="1"/>
  <c r="T23" i="22"/>
  <c r="E19" i="1"/>
  <c r="T24" i="22"/>
  <c r="E20" i="1"/>
  <c r="T25" i="22"/>
  <c r="E21" i="1"/>
  <c r="T26" i="22"/>
  <c r="V22" i="22"/>
  <c r="V25" i="22"/>
  <c r="V26" i="22"/>
  <c r="E38" i="21"/>
  <c r="C41" i="21"/>
  <c r="B60" i="21"/>
  <c r="U26" i="22"/>
  <c r="U22" i="22"/>
  <c r="U25" i="22"/>
  <c r="J9" i="22"/>
  <c r="L9" i="22"/>
  <c r="Q37" i="22"/>
  <c r="AY18" i="21"/>
  <c r="AZ11" i="17"/>
  <c r="AY6" i="21"/>
  <c r="AZ7" i="17"/>
  <c r="AZ18" i="21"/>
  <c r="BA11" i="17"/>
  <c r="AL18" i="21"/>
  <c r="AM11" i="17"/>
  <c r="AL7" i="17"/>
  <c r="AL6" i="21"/>
  <c r="AL64" i="21"/>
  <c r="AK18" i="21"/>
  <c r="AL11" i="17"/>
  <c r="L6" i="21"/>
  <c r="L11" i="12"/>
  <c r="R7" i="22"/>
  <c r="S7" i="22"/>
  <c r="AD6" i="21"/>
  <c r="AE7" i="17"/>
  <c r="B6" i="21"/>
  <c r="C7" i="17"/>
  <c r="AM6" i="21"/>
  <c r="AN7" i="17"/>
  <c r="D10" i="17"/>
  <c r="AL10" i="17"/>
  <c r="F10" i="17"/>
  <c r="T10" i="17"/>
  <c r="AI10" i="17"/>
  <c r="AW10" i="17"/>
  <c r="L10" i="17"/>
  <c r="AE10" i="17"/>
  <c r="AP10" i="17"/>
  <c r="X10" i="17"/>
  <c r="AM10" i="17"/>
  <c r="BE10" i="17"/>
  <c r="AH10" i="17"/>
  <c r="AO10" i="17"/>
  <c r="AV10" i="17"/>
  <c r="AC10" i="17"/>
  <c r="G10" i="17"/>
  <c r="AG10" i="17"/>
  <c r="BB10" i="17"/>
  <c r="BC10" i="17"/>
  <c r="W10" i="17"/>
  <c r="AA10" i="17"/>
  <c r="Y10" i="17"/>
  <c r="AJ10" i="17"/>
  <c r="AX10" i="17"/>
  <c r="N10" i="17"/>
  <c r="AY10" i="17"/>
  <c r="S10" i="17"/>
  <c r="AB10" i="17"/>
  <c r="AQ10" i="17"/>
  <c r="I10" i="17"/>
  <c r="AF10" i="17"/>
  <c r="AT10" i="17"/>
  <c r="J10" i="17"/>
  <c r="AU10" i="17"/>
  <c r="K10" i="17"/>
  <c r="AR10" i="17"/>
  <c r="U10" i="17"/>
  <c r="BD10" i="17"/>
  <c r="AS10" i="17"/>
  <c r="BA10" i="17"/>
  <c r="AZ10" i="17"/>
  <c r="AK10" i="17"/>
  <c r="Z10" i="17"/>
  <c r="AD10" i="17"/>
  <c r="AN10" i="17"/>
  <c r="V10" i="17"/>
  <c r="BF10" i="17"/>
  <c r="M7" i="17"/>
  <c r="D6" i="21"/>
  <c r="AR6" i="21"/>
  <c r="AS7" i="17"/>
  <c r="AE6" i="21"/>
  <c r="BB6" i="21"/>
  <c r="G21" i="21"/>
  <c r="R10" i="17"/>
  <c r="P10" i="17"/>
  <c r="M10" i="17"/>
  <c r="Q10" i="17"/>
  <c r="H10" i="17"/>
  <c r="E10" i="17"/>
  <c r="L21" i="21"/>
  <c r="AG21" i="21"/>
  <c r="BC21" i="21"/>
  <c r="AB21" i="21"/>
  <c r="Q21" i="21"/>
  <c r="AM21" i="21"/>
  <c r="E21" i="21"/>
  <c r="W21" i="21"/>
  <c r="AR21" i="21"/>
  <c r="AW21" i="21"/>
  <c r="BA21" i="21"/>
  <c r="AF21" i="21"/>
  <c r="K21" i="21"/>
  <c r="AU21" i="21"/>
  <c r="Y21" i="21"/>
  <c r="B21" i="21"/>
  <c r="AN21" i="21"/>
  <c r="S21" i="21"/>
  <c r="AX21" i="21"/>
  <c r="AH21" i="21"/>
  <c r="R21" i="21"/>
  <c r="D21" i="21"/>
  <c r="H21" i="21"/>
  <c r="BB21" i="21"/>
  <c r="F21" i="21"/>
  <c r="AV21" i="21"/>
  <c r="AA21" i="21"/>
  <c r="I21" i="21"/>
  <c r="AO21" i="21"/>
  <c r="T21" i="21"/>
  <c r="BD21" i="21"/>
  <c r="AI21" i="21"/>
  <c r="M21" i="21"/>
  <c r="AT21" i="21"/>
  <c r="AD21" i="21"/>
  <c r="N21" i="21"/>
  <c r="P21" i="21"/>
  <c r="AE21" i="21"/>
  <c r="AS21" i="21"/>
  <c r="AL21" i="21"/>
  <c r="AQ21" i="21"/>
  <c r="U21" i="21"/>
  <c r="BE21" i="21"/>
  <c r="AJ21" i="21"/>
  <c r="O21" i="21"/>
  <c r="AY21" i="21"/>
  <c r="AC21" i="21"/>
  <c r="C21" i="21"/>
  <c r="AP21" i="21"/>
  <c r="Z21" i="21"/>
  <c r="J21" i="21"/>
  <c r="AK21" i="21"/>
  <c r="AZ21" i="21"/>
  <c r="X21" i="21"/>
  <c r="V21" i="21"/>
  <c r="C10" i="17"/>
  <c r="O10" i="17"/>
  <c r="S6" i="21"/>
  <c r="T7" i="17"/>
  <c r="G6" i="21"/>
  <c r="V6" i="21"/>
  <c r="W7" i="17"/>
  <c r="AF7" i="17"/>
  <c r="AJ6" i="21"/>
  <c r="AK7" i="17"/>
  <c r="AD18" i="21"/>
  <c r="AE11" i="17"/>
  <c r="AS18" i="21"/>
  <c r="AT11" i="17"/>
  <c r="AV18" i="21"/>
  <c r="AW11" i="17"/>
  <c r="AH18" i="21"/>
  <c r="AI11" i="17"/>
  <c r="AJ18" i="21"/>
  <c r="AK11" i="17"/>
  <c r="V18" i="21"/>
  <c r="W11" i="17"/>
  <c r="BB18" i="21"/>
  <c r="BC11" i="17"/>
  <c r="Z18" i="21"/>
  <c r="AA11" i="17"/>
  <c r="BE18" i="21"/>
  <c r="BF11" i="17"/>
  <c r="AU18" i="21"/>
  <c r="AV11" i="17"/>
  <c r="AM18" i="21"/>
  <c r="AN11" i="17"/>
  <c r="AT18" i="21"/>
  <c r="AU11" i="17"/>
  <c r="AC18" i="21"/>
  <c r="AD11" i="17"/>
  <c r="AX18" i="21"/>
  <c r="AY11" i="17"/>
  <c r="S18" i="21"/>
  <c r="T11" i="17"/>
  <c r="AR18" i="21"/>
  <c r="AS11" i="17"/>
  <c r="AO18" i="21"/>
  <c r="AP11" i="17"/>
  <c r="AE18" i="21"/>
  <c r="AF11" i="17"/>
  <c r="Y18" i="21"/>
  <c r="Z11" i="17"/>
  <c r="AG18" i="21"/>
  <c r="AH11" i="17"/>
  <c r="L18" i="21"/>
  <c r="M11" i="17"/>
  <c r="N18" i="21"/>
  <c r="O11" i="17"/>
  <c r="P18" i="21"/>
  <c r="Q11" i="17"/>
  <c r="Q18" i="21"/>
  <c r="R11" i="17"/>
  <c r="O18" i="21"/>
  <c r="P11" i="17"/>
  <c r="G18" i="21"/>
  <c r="H11" i="17"/>
  <c r="D18" i="21"/>
  <c r="E11" i="17"/>
  <c r="B18" i="21"/>
  <c r="C11" i="17"/>
  <c r="BD18" i="21"/>
  <c r="BE11" i="17"/>
  <c r="F18" i="21"/>
  <c r="G11" i="17"/>
  <c r="U18" i="21"/>
  <c r="V11" i="17"/>
  <c r="AQ18" i="21"/>
  <c r="AR11" i="17"/>
  <c r="BA18" i="21"/>
  <c r="BB11" i="17"/>
  <c r="R18" i="21"/>
  <c r="S11" i="17"/>
  <c r="AF18" i="21"/>
  <c r="AG11" i="17"/>
  <c r="AN18" i="21"/>
  <c r="AO11" i="17"/>
  <c r="C18" i="21"/>
  <c r="D11" i="17"/>
  <c r="AI18" i="21"/>
  <c r="AJ11" i="17"/>
  <c r="T18" i="21"/>
  <c r="U11" i="17"/>
  <c r="X18" i="21"/>
  <c r="Y11" i="17"/>
  <c r="AA18" i="21"/>
  <c r="AB11" i="17"/>
  <c r="E18" i="21"/>
  <c r="F11" i="17"/>
  <c r="M18" i="21"/>
  <c r="N11" i="17"/>
  <c r="K18" i="21"/>
  <c r="L11" i="17"/>
  <c r="W18" i="21"/>
  <c r="X11" i="17"/>
  <c r="AP18" i="21"/>
  <c r="AQ11" i="17"/>
  <c r="BC18" i="21"/>
  <c r="BD11" i="17"/>
  <c r="AW18" i="21"/>
  <c r="AX11" i="17"/>
  <c r="H18" i="21"/>
  <c r="I11" i="17"/>
  <c r="AB18" i="21"/>
  <c r="AC11" i="17"/>
  <c r="J18" i="21"/>
  <c r="K11" i="17"/>
  <c r="I18" i="21"/>
  <c r="J11" i="17"/>
  <c r="N6" i="21"/>
  <c r="O7" i="17"/>
  <c r="H7" i="17"/>
  <c r="AC6" i="21"/>
  <c r="AD7" i="17"/>
  <c r="AT6" i="21"/>
  <c r="P6" i="21"/>
  <c r="O6" i="21"/>
  <c r="AU6" i="21"/>
  <c r="AV7" i="17"/>
  <c r="AU7" i="17"/>
  <c r="U39" i="28"/>
  <c r="P41" i="28"/>
  <c r="P43" i="28"/>
  <c r="V33" i="28"/>
  <c r="V39" i="28"/>
  <c r="BE64" i="21"/>
  <c r="BF7" i="17"/>
  <c r="AF36" i="21"/>
  <c r="AF60" i="21"/>
  <c r="BA36" i="21"/>
  <c r="BA60" i="21"/>
  <c r="F36" i="21"/>
  <c r="F60" i="21"/>
  <c r="M36" i="21"/>
  <c r="M60" i="21"/>
  <c r="AL36" i="21"/>
  <c r="BB36" i="21"/>
  <c r="BB60" i="21"/>
  <c r="AF43" i="21"/>
  <c r="BA43" i="21"/>
  <c r="AC43" i="21"/>
  <c r="AF50" i="21"/>
  <c r="BA50" i="21"/>
  <c r="AC50" i="21"/>
  <c r="AF57" i="21"/>
  <c r="BA57" i="21"/>
  <c r="R6" i="21"/>
  <c r="J6" i="21"/>
  <c r="K7" i="17"/>
  <c r="AH36" i="21"/>
  <c r="BC36" i="21"/>
  <c r="BC60" i="21"/>
  <c r="AB36" i="21"/>
  <c r="AB60" i="21"/>
  <c r="AK36" i="21"/>
  <c r="AK60" i="21"/>
  <c r="X36" i="21"/>
  <c r="X60" i="21"/>
  <c r="AO36" i="21"/>
  <c r="AO60" i="21"/>
  <c r="AO61" i="21"/>
  <c r="BC43" i="21"/>
  <c r="AB43" i="21"/>
  <c r="O43" i="21"/>
  <c r="X43" i="21"/>
  <c r="X61" i="21"/>
  <c r="X62" i="21"/>
  <c r="X63" i="21"/>
  <c r="AO43" i="21"/>
  <c r="H50" i="21"/>
  <c r="BC50" i="21"/>
  <c r="AM64" i="21"/>
  <c r="AN12" i="17"/>
  <c r="AP36" i="21"/>
  <c r="AP60" i="21"/>
  <c r="Y60" i="21"/>
  <c r="H36" i="21"/>
  <c r="H60" i="21"/>
  <c r="T36" i="21"/>
  <c r="T60" i="21"/>
  <c r="S36" i="21"/>
  <c r="AD41" i="21"/>
  <c r="AS36" i="21"/>
  <c r="AS60" i="21"/>
  <c r="H43" i="21"/>
  <c r="H61" i="21"/>
  <c r="T43" i="21"/>
  <c r="T61" i="21"/>
  <c r="AH43" i="21"/>
  <c r="T50" i="21"/>
  <c r="AB50" i="21"/>
  <c r="O50" i="21"/>
  <c r="X50" i="21"/>
  <c r="AO50" i="21"/>
  <c r="AU50" i="21"/>
  <c r="Z52" i="21"/>
  <c r="Z57" i="21"/>
  <c r="H57" i="21"/>
  <c r="T57" i="21"/>
  <c r="AH57" i="21"/>
  <c r="BC57" i="21"/>
  <c r="AB57" i="21"/>
  <c r="O57" i="21"/>
  <c r="X57" i="21"/>
  <c r="AO57" i="21"/>
  <c r="P50" i="21"/>
  <c r="P57" i="21"/>
  <c r="AX57" i="21"/>
  <c r="Q50" i="21"/>
  <c r="Q57" i="21"/>
  <c r="C36" i="21"/>
  <c r="C60" i="21"/>
  <c r="AD36" i="21"/>
  <c r="J38" i="21"/>
  <c r="D52" i="21"/>
  <c r="BD50" i="21"/>
  <c r="AM7" i="17"/>
  <c r="O60" i="21"/>
  <c r="O61" i="21"/>
  <c r="O62" i="21"/>
  <c r="G38" i="21"/>
  <c r="F38" i="21"/>
  <c r="F43" i="21"/>
  <c r="F61" i="21"/>
  <c r="S38" i="21"/>
  <c r="S43" i="21"/>
  <c r="P7" i="17"/>
  <c r="AY36" i="21"/>
  <c r="AG38" i="21"/>
  <c r="AG43" i="21"/>
  <c r="N60" i="21"/>
  <c r="R61" i="21"/>
  <c r="BA61" i="21"/>
  <c r="AG45" i="21"/>
  <c r="AG50" i="21"/>
  <c r="E52" i="21"/>
  <c r="E57" i="21"/>
  <c r="C55" i="21"/>
  <c r="AQ7" i="17"/>
  <c r="AY52" i="21"/>
  <c r="AY57" i="21"/>
  <c r="AE60" i="21"/>
  <c r="AS38" i="21"/>
  <c r="AS43" i="21"/>
  <c r="BA62" i="21"/>
  <c r="BD36" i="21"/>
  <c r="BD60" i="21"/>
  <c r="AT43" i="21"/>
  <c r="F50" i="21"/>
  <c r="AM12" i="17"/>
  <c r="AL60" i="21"/>
  <c r="AK38" i="21"/>
  <c r="AK43" i="21"/>
  <c r="C48" i="21"/>
  <c r="B61" i="21"/>
  <c r="E45" i="21"/>
  <c r="E50" i="21"/>
  <c r="AF61" i="21"/>
  <c r="AF62" i="21"/>
  <c r="AA61" i="21"/>
  <c r="AA62" i="21"/>
  <c r="D45" i="21"/>
  <c r="AG52" i="21"/>
  <c r="AG57" i="21"/>
  <c r="AR52" i="21"/>
  <c r="AR57" i="21"/>
  <c r="C56" i="21"/>
  <c r="BB57" i="21"/>
  <c r="BC7" i="17"/>
  <c r="E7" i="17"/>
  <c r="BF12" i="17"/>
  <c r="BB45" i="21"/>
  <c r="BB50" i="21"/>
  <c r="U36" i="21"/>
  <c r="U60" i="21"/>
  <c r="AC36" i="21"/>
  <c r="AT36" i="21"/>
  <c r="AY38" i="21"/>
  <c r="AY43" i="21"/>
  <c r="AX60" i="21"/>
  <c r="AX61" i="21"/>
  <c r="K43" i="21"/>
  <c r="AI43" i="21"/>
  <c r="G46" i="21"/>
  <c r="G53" i="21"/>
  <c r="BD57" i="21"/>
  <c r="AT57" i="21"/>
  <c r="AJ36" i="21"/>
  <c r="AM36" i="21"/>
  <c r="AU36" i="21"/>
  <c r="AQ36" i="21"/>
  <c r="AQ60" i="21"/>
  <c r="L43" i="21"/>
  <c r="V43" i="21"/>
  <c r="AJ43" i="21"/>
  <c r="L50" i="21"/>
  <c r="AJ50" i="21"/>
  <c r="L57" i="21"/>
  <c r="V57" i="21"/>
  <c r="AU57" i="21"/>
  <c r="U7" i="17"/>
  <c r="BB7" i="17"/>
  <c r="AR38" i="21"/>
  <c r="AR43" i="21"/>
  <c r="AR61" i="21"/>
  <c r="BC61" i="21"/>
  <c r="S60" i="21"/>
  <c r="AN36" i="21"/>
  <c r="AN60" i="21"/>
  <c r="K36" i="21"/>
  <c r="K60" i="21"/>
  <c r="AI36" i="21"/>
  <c r="AI60" i="21"/>
  <c r="P60" i="21"/>
  <c r="P61" i="21"/>
  <c r="G39" i="21"/>
  <c r="AY50" i="21"/>
  <c r="U50" i="21"/>
  <c r="AT50" i="21"/>
  <c r="AI57" i="21"/>
  <c r="V36" i="21"/>
  <c r="J43" i="21"/>
  <c r="D36" i="21"/>
  <c r="J36" i="21"/>
  <c r="J60" i="21"/>
  <c r="AH60" i="21"/>
  <c r="BB38" i="21"/>
  <c r="BB43" i="21"/>
  <c r="C49" i="21"/>
  <c r="AR45" i="21"/>
  <c r="AR50" i="21"/>
  <c r="Q7" i="17"/>
  <c r="Q61" i="21"/>
  <c r="Q62" i="21"/>
  <c r="S45" i="21"/>
  <c r="S50" i="21"/>
  <c r="U43" i="21"/>
  <c r="BD43" i="21"/>
  <c r="AI50" i="21"/>
  <c r="AC57" i="21"/>
  <c r="S7" i="17"/>
  <c r="F7" i="17"/>
  <c r="BE36" i="21"/>
  <c r="AX7" i="17"/>
  <c r="W36" i="21"/>
  <c r="W60" i="21"/>
  <c r="G52" i="21"/>
  <c r="AD60" i="21"/>
  <c r="I38" i="21"/>
  <c r="I43" i="21"/>
  <c r="AP38" i="21"/>
  <c r="AP43" i="21"/>
  <c r="AP61" i="21"/>
  <c r="AB61" i="21"/>
  <c r="AB62" i="21"/>
  <c r="G45" i="21"/>
  <c r="U57" i="21"/>
  <c r="L36" i="21"/>
  <c r="E36" i="21"/>
  <c r="E60" i="21"/>
  <c r="C42" i="21"/>
  <c r="Z36" i="21"/>
  <c r="BE43" i="21"/>
  <c r="E43" i="21"/>
  <c r="BE50" i="21"/>
  <c r="BE57" i="21"/>
  <c r="G36" i="21"/>
  <c r="AV36" i="21"/>
  <c r="AU43" i="21"/>
  <c r="V50" i="21"/>
  <c r="AJ57" i="21"/>
  <c r="L23" i="22"/>
  <c r="AG36" i="21"/>
  <c r="I36" i="21"/>
  <c r="I60" i="21"/>
  <c r="L13" i="22"/>
  <c r="B2" i="25"/>
  <c r="B38" i="25"/>
  <c r="J30" i="22"/>
  <c r="B46" i="25"/>
  <c r="B54" i="25"/>
  <c r="B45" i="25"/>
  <c r="B32" i="25"/>
  <c r="B35" i="25"/>
  <c r="Q27" i="22"/>
  <c r="J8" i="22"/>
  <c r="L8" i="22"/>
  <c r="E2" i="24"/>
  <c r="H2" i="24"/>
  <c r="R39" i="22"/>
  <c r="Q39" i="22"/>
  <c r="E14" i="24"/>
  <c r="H14" i="24"/>
  <c r="J20" i="22"/>
  <c r="L20" i="22"/>
  <c r="T13" i="22"/>
  <c r="W13" i="22"/>
  <c r="J11" i="22"/>
  <c r="L11" i="22"/>
  <c r="J14" i="22"/>
  <c r="L14" i="22"/>
  <c r="T16" i="22"/>
  <c r="V16" i="22"/>
  <c r="T10" i="22"/>
  <c r="R32" i="22"/>
  <c r="B15" i="25"/>
  <c r="B11" i="25"/>
  <c r="B47" i="25"/>
  <c r="B8" i="25"/>
  <c r="B44" i="25"/>
  <c r="B16" i="25"/>
  <c r="B34" i="25"/>
  <c r="B50" i="25"/>
  <c r="B53" i="25"/>
  <c r="T15" i="22"/>
  <c r="U15" i="22"/>
  <c r="G39" i="25"/>
  <c r="L40" i="25"/>
  <c r="B43" i="25"/>
  <c r="B29" i="25"/>
  <c r="B40" i="25"/>
  <c r="B22" i="25"/>
  <c r="B58" i="25"/>
  <c r="B26" i="25"/>
  <c r="E15" i="24"/>
  <c r="H15" i="24"/>
  <c r="S10" i="22"/>
  <c r="S12" i="22"/>
  <c r="F40" i="25"/>
  <c r="J49" i="22"/>
  <c r="Q34" i="22"/>
  <c r="J15" i="22"/>
  <c r="L15" i="22"/>
  <c r="T17" i="22"/>
  <c r="U17" i="22"/>
  <c r="R34" i="22"/>
  <c r="E9" i="24"/>
  <c r="H9" i="24"/>
  <c r="T19" i="22"/>
  <c r="V19" i="22"/>
  <c r="R36" i="22"/>
  <c r="Q36" i="22"/>
  <c r="E11" i="24"/>
  <c r="H11" i="24"/>
  <c r="J17" i="22"/>
  <c r="L17" i="22"/>
  <c r="J19" i="22"/>
  <c r="L19" i="22"/>
  <c r="E13" i="24"/>
  <c r="H13" i="24"/>
  <c r="Q38" i="22"/>
  <c r="Q42" i="22"/>
  <c r="R38" i="22"/>
  <c r="B49" i="25"/>
  <c r="B31" i="25"/>
  <c r="J12" i="22"/>
  <c r="L12" i="22"/>
  <c r="E6" i="24"/>
  <c r="H6" i="24"/>
  <c r="Q31" i="22"/>
  <c r="T14" i="22"/>
  <c r="R31" i="22"/>
  <c r="R35" i="22"/>
  <c r="Q35" i="22"/>
  <c r="J16" i="22"/>
  <c r="L16" i="22"/>
  <c r="E10" i="24"/>
  <c r="H10" i="24"/>
  <c r="T18" i="22"/>
  <c r="W18" i="22"/>
  <c r="Q30" i="22"/>
  <c r="R30" i="22"/>
  <c r="E53" i="22"/>
  <c r="B19" i="25"/>
  <c r="B55" i="25"/>
  <c r="J18" i="22"/>
  <c r="L18" i="22"/>
  <c r="E12" i="24"/>
  <c r="H12" i="24"/>
  <c r="B52" i="25"/>
  <c r="E5" i="24"/>
  <c r="H5" i="24"/>
  <c r="E7" i="24"/>
  <c r="H7" i="24"/>
  <c r="R27" i="22"/>
  <c r="R37" i="22"/>
  <c r="B42" i="25"/>
  <c r="B28" i="25"/>
  <c r="B25" i="25"/>
  <c r="B39" i="25"/>
  <c r="B21" i="25"/>
  <c r="B57" i="25"/>
  <c r="B27" i="25"/>
  <c r="B23" i="25"/>
  <c r="B59" i="25"/>
  <c r="B41" i="25"/>
  <c r="S18" i="22"/>
  <c r="J10" i="22"/>
  <c r="L10" i="22"/>
  <c r="T12" i="22"/>
  <c r="W12" i="22"/>
  <c r="R25" i="22"/>
  <c r="S14" i="22"/>
  <c r="S19" i="22"/>
  <c r="R22" i="22"/>
  <c r="E18" i="24"/>
  <c r="H18" i="24"/>
  <c r="J52" i="22"/>
  <c r="E52" i="22"/>
  <c r="E49" i="22"/>
  <c r="J53" i="22"/>
  <c r="K5" i="25"/>
  <c r="K41" i="25"/>
  <c r="M7" i="25"/>
  <c r="M9" i="25"/>
  <c r="M45" i="25"/>
  <c r="G25" i="25"/>
  <c r="G61" i="25"/>
  <c r="E5" i="25"/>
  <c r="E27" i="25"/>
  <c r="E25" i="25"/>
  <c r="E61" i="25"/>
  <c r="C39" i="25"/>
  <c r="O39" i="25"/>
  <c r="Q40" i="22"/>
  <c r="V40" i="22"/>
  <c r="U40" i="22"/>
  <c r="T40" i="22"/>
  <c r="K6" i="24"/>
  <c r="E39" i="22"/>
  <c r="V10" i="22"/>
  <c r="U10" i="22"/>
  <c r="W10" i="22"/>
  <c r="V13" i="22"/>
  <c r="S15" i="22"/>
  <c r="K8" i="24"/>
  <c r="V12" i="22"/>
  <c r="U12" i="22"/>
  <c r="K10" i="24"/>
  <c r="K14" i="24"/>
  <c r="S13" i="22"/>
  <c r="S11" i="22"/>
  <c r="W16" i="22"/>
  <c r="S16" i="22"/>
  <c r="R24" i="22"/>
  <c r="E17" i="24"/>
  <c r="H17" i="24"/>
  <c r="E3" i="24"/>
  <c r="H3" i="24"/>
  <c r="R33" i="22"/>
  <c r="Q33" i="22"/>
  <c r="Q32" i="22"/>
  <c r="Q41" i="22"/>
  <c r="R26" i="22"/>
  <c r="Q40" i="25"/>
  <c r="M39" i="25"/>
  <c r="T11" i="22"/>
  <c r="E8" i="24"/>
  <c r="H8" i="24"/>
  <c r="J5" i="25"/>
  <c r="J27" i="25"/>
  <c r="R28" i="22"/>
  <c r="H26" i="25"/>
  <c r="K25" i="25"/>
  <c r="K61" i="25"/>
  <c r="H40" i="25"/>
  <c r="Q39" i="25"/>
  <c r="L8" i="25"/>
  <c r="L44" i="25"/>
  <c r="J25" i="25"/>
  <c r="J61" i="25"/>
  <c r="N6" i="25"/>
  <c r="P40" i="25"/>
  <c r="K6" i="25"/>
  <c r="F5" i="25"/>
  <c r="F7" i="25"/>
  <c r="F29" i="25"/>
  <c r="I26" i="25"/>
  <c r="F25" i="25"/>
  <c r="F61" i="25"/>
  <c r="I6" i="25"/>
  <c r="E26" i="25"/>
  <c r="H42" i="25"/>
  <c r="H8" i="25"/>
  <c r="H28" i="25"/>
  <c r="D6" i="25"/>
  <c r="D8" i="25"/>
  <c r="D26" i="25"/>
  <c r="N5" i="25"/>
  <c r="N41" i="25"/>
  <c r="L5" i="25"/>
  <c r="L7" i="25"/>
  <c r="C25" i="25"/>
  <c r="C61" i="25"/>
  <c r="O7" i="25"/>
  <c r="O9" i="25"/>
  <c r="O6" i="25"/>
  <c r="E42" i="25"/>
  <c r="G41" i="25"/>
  <c r="G7" i="25"/>
  <c r="G27" i="25"/>
  <c r="I39" i="25"/>
  <c r="I25" i="25"/>
  <c r="I5" i="25"/>
  <c r="D39" i="25"/>
  <c r="D5" i="25"/>
  <c r="C40" i="25"/>
  <c r="C6" i="25"/>
  <c r="H39" i="25"/>
  <c r="H5" i="25"/>
  <c r="E10" i="25"/>
  <c r="M40" i="25"/>
  <c r="M6" i="25"/>
  <c r="C41" i="25"/>
  <c r="C27" i="25"/>
  <c r="C7" i="25"/>
  <c r="G26" i="25"/>
  <c r="G6" i="25"/>
  <c r="E28" i="25"/>
  <c r="Q7" i="25"/>
  <c r="P42" i="25"/>
  <c r="P8" i="25"/>
  <c r="P5" i="25"/>
  <c r="D25" i="25"/>
  <c r="Q8" i="25"/>
  <c r="E40" i="25"/>
  <c r="C26" i="25"/>
  <c r="K26" i="25"/>
  <c r="F6" i="25"/>
  <c r="J4" i="25"/>
  <c r="BA63" i="21"/>
  <c r="BA64" i="21"/>
  <c r="H62" i="21"/>
  <c r="AK61" i="21"/>
  <c r="W39" i="21"/>
  <c r="F62" i="21"/>
  <c r="C39" i="21"/>
  <c r="H63" i="21"/>
  <c r="H64" i="21"/>
  <c r="P62" i="21"/>
  <c r="X64" i="21"/>
  <c r="F52" i="21"/>
  <c r="F57" i="21"/>
  <c r="F63" i="21"/>
  <c r="F64" i="21"/>
  <c r="S52" i="21"/>
  <c r="S57" i="21"/>
  <c r="G43" i="21"/>
  <c r="AX62" i="21"/>
  <c r="G57" i="21"/>
  <c r="AA63" i="21"/>
  <c r="AA64" i="21"/>
  <c r="BB12" i="17"/>
  <c r="Z60" i="21"/>
  <c r="AV38" i="21"/>
  <c r="AV43" i="21"/>
  <c r="S61" i="21"/>
  <c r="S62" i="21"/>
  <c r="AD48" i="21"/>
  <c r="G50" i="21"/>
  <c r="W46" i="21"/>
  <c r="C46" i="21"/>
  <c r="BB61" i="21"/>
  <c r="K61" i="21"/>
  <c r="K62" i="21"/>
  <c r="AM38" i="21"/>
  <c r="AM43" i="21"/>
  <c r="BE60" i="21"/>
  <c r="BE61" i="21"/>
  <c r="BE62" i="21"/>
  <c r="BE63" i="21"/>
  <c r="I12" i="17"/>
  <c r="AD49" i="21"/>
  <c r="AE45" i="21"/>
  <c r="AE50" i="21"/>
  <c r="O63" i="21"/>
  <c r="O64" i="21"/>
  <c r="R62" i="21"/>
  <c r="R63" i="21"/>
  <c r="AF63" i="21"/>
  <c r="AF64" i="21"/>
  <c r="AL38" i="21"/>
  <c r="AL43" i="21"/>
  <c r="AM60" i="21"/>
  <c r="AI61" i="21"/>
  <c r="AN52" i="21"/>
  <c r="AN57" i="21"/>
  <c r="M52" i="21"/>
  <c r="M57" i="21"/>
  <c r="AO62" i="21"/>
  <c r="AD46" i="21"/>
  <c r="AM52" i="21"/>
  <c r="AM57" i="21"/>
  <c r="BD61" i="21"/>
  <c r="AZ52" i="21"/>
  <c r="AZ57" i="21"/>
  <c r="Y45" i="21"/>
  <c r="Y50" i="21"/>
  <c r="AZ45" i="21"/>
  <c r="AZ50" i="21"/>
  <c r="T62" i="21"/>
  <c r="T63" i="21"/>
  <c r="AX63" i="21"/>
  <c r="AX64" i="21"/>
  <c r="N61" i="21"/>
  <c r="N62" i="21"/>
  <c r="AY60" i="21"/>
  <c r="AY61" i="21"/>
  <c r="AZ38" i="21"/>
  <c r="AZ43" i="21"/>
  <c r="AZ61" i="21"/>
  <c r="V60" i="21"/>
  <c r="V61" i="21"/>
  <c r="V62" i="21"/>
  <c r="Y38" i="21"/>
  <c r="Y43" i="21"/>
  <c r="Y12" i="17"/>
  <c r="D46" i="21"/>
  <c r="D50" i="21"/>
  <c r="AQ45" i="21"/>
  <c r="AQ50" i="21"/>
  <c r="AD45" i="21"/>
  <c r="D53" i="21"/>
  <c r="D57" i="21"/>
  <c r="B62" i="21"/>
  <c r="B63" i="21"/>
  <c r="Y52" i="21"/>
  <c r="Y57" i="21"/>
  <c r="E61" i="21"/>
  <c r="L60" i="21"/>
  <c r="L61" i="21"/>
  <c r="M38" i="21"/>
  <c r="M43" i="21"/>
  <c r="M61" i="21"/>
  <c r="AN38" i="21"/>
  <c r="AN43" i="21"/>
  <c r="AN61" i="21"/>
  <c r="I61" i="21"/>
  <c r="U61" i="21"/>
  <c r="BC62" i="21"/>
  <c r="BC63" i="21"/>
  <c r="D60" i="21"/>
  <c r="C40" i="21"/>
  <c r="C43" i="21"/>
  <c r="C61" i="21"/>
  <c r="W40" i="21"/>
  <c r="W43" i="21"/>
  <c r="W61" i="21"/>
  <c r="AO63" i="21"/>
  <c r="AO64" i="21"/>
  <c r="Q63" i="21"/>
  <c r="M45" i="21"/>
  <c r="M50" i="21"/>
  <c r="AN45" i="21"/>
  <c r="AN50" i="21"/>
  <c r="AN62" i="21"/>
  <c r="D39" i="21"/>
  <c r="AT60" i="21"/>
  <c r="C53" i="21"/>
  <c r="W53" i="21"/>
  <c r="AD52" i="21"/>
  <c r="AQ52" i="21"/>
  <c r="AQ57" i="21"/>
  <c r="BD62" i="21"/>
  <c r="BD63" i="21"/>
  <c r="BD64" i="21"/>
  <c r="Q64" i="21"/>
  <c r="AQ38" i="21"/>
  <c r="AQ43" i="21"/>
  <c r="AQ61" i="21"/>
  <c r="AG60" i="21"/>
  <c r="AG61" i="21"/>
  <c r="AD38" i="21"/>
  <c r="AD40" i="21"/>
  <c r="AV60" i="21"/>
  <c r="AW38" i="21"/>
  <c r="AW43" i="21"/>
  <c r="AW61" i="21"/>
  <c r="AU60" i="21"/>
  <c r="AU61" i="21"/>
  <c r="Z38" i="21"/>
  <c r="Z43" i="21"/>
  <c r="AD39" i="21"/>
  <c r="G60" i="21"/>
  <c r="G61" i="21"/>
  <c r="AS61" i="21"/>
  <c r="AP45" i="21"/>
  <c r="AP50" i="21"/>
  <c r="AP62" i="21"/>
  <c r="AD56" i="21"/>
  <c r="AE52" i="21"/>
  <c r="AE57" i="21"/>
  <c r="AJ60" i="21"/>
  <c r="AE38" i="21"/>
  <c r="AE43" i="21"/>
  <c r="AD42" i="21"/>
  <c r="Z45" i="21"/>
  <c r="Z50" i="21"/>
  <c r="AM45" i="21"/>
  <c r="AM50" i="21"/>
  <c r="AD55" i="21"/>
  <c r="AR62" i="21"/>
  <c r="AR63" i="21"/>
  <c r="AR64" i="21"/>
  <c r="J61" i="21"/>
  <c r="P63" i="21"/>
  <c r="P64" i="21"/>
  <c r="AB63" i="21"/>
  <c r="AB64" i="21"/>
  <c r="AC60" i="21"/>
  <c r="D38" i="21"/>
  <c r="AH61" i="21"/>
  <c r="U13" i="22"/>
  <c r="B51" i="25"/>
  <c r="B33" i="25"/>
  <c r="B36" i="25"/>
  <c r="R41" i="22"/>
  <c r="V18" i="22"/>
  <c r="U18" i="22"/>
  <c r="W15" i="22"/>
  <c r="U16" i="22"/>
  <c r="V15" i="22"/>
  <c r="R42" i="22"/>
  <c r="V14" i="22"/>
  <c r="U14" i="22"/>
  <c r="W14" i="22"/>
  <c r="W19" i="22"/>
  <c r="W17" i="22"/>
  <c r="V17" i="22"/>
  <c r="U19" i="22"/>
  <c r="K7" i="25"/>
  <c r="M43" i="25"/>
  <c r="J7" i="25"/>
  <c r="J29" i="25"/>
  <c r="J41" i="25"/>
  <c r="K27" i="25"/>
  <c r="R40" i="22"/>
  <c r="E30" i="22"/>
  <c r="M11" i="25"/>
  <c r="M13" i="25"/>
  <c r="B61" i="25"/>
  <c r="E7" i="25"/>
  <c r="E21" i="25"/>
  <c r="E57" i="25"/>
  <c r="E41" i="25"/>
  <c r="L10" i="25"/>
  <c r="L12" i="25"/>
  <c r="O43" i="25"/>
  <c r="V11" i="22"/>
  <c r="W11" i="22"/>
  <c r="U11" i="22"/>
  <c r="L41" i="25"/>
  <c r="V41" i="22"/>
  <c r="T41" i="22"/>
  <c r="U41" i="22"/>
  <c r="F41" i="25"/>
  <c r="F27" i="25"/>
  <c r="F9" i="25"/>
  <c r="F11" i="25"/>
  <c r="N42" i="25"/>
  <c r="N8" i="25"/>
  <c r="G21" i="25"/>
  <c r="G57" i="25"/>
  <c r="F43" i="25"/>
  <c r="D28" i="25"/>
  <c r="D42" i="25"/>
  <c r="I28" i="25"/>
  <c r="I42" i="25"/>
  <c r="I8" i="25"/>
  <c r="K8" i="25"/>
  <c r="K22" i="25"/>
  <c r="K58" i="25"/>
  <c r="K28" i="25"/>
  <c r="K42" i="25"/>
  <c r="N7" i="25"/>
  <c r="N9" i="25"/>
  <c r="O8" i="25"/>
  <c r="O42" i="25"/>
  <c r="D10" i="25"/>
  <c r="D44" i="25"/>
  <c r="H10" i="25"/>
  <c r="H44" i="25"/>
  <c r="E22" i="25"/>
  <c r="E58" i="25"/>
  <c r="F42" i="25"/>
  <c r="F28" i="25"/>
  <c r="F8" i="25"/>
  <c r="C28" i="25"/>
  <c r="C42" i="25"/>
  <c r="C8" i="25"/>
  <c r="P7" i="25"/>
  <c r="P41" i="25"/>
  <c r="C43" i="25"/>
  <c r="C9" i="25"/>
  <c r="C29" i="25"/>
  <c r="I61" i="25"/>
  <c r="P44" i="25"/>
  <c r="P10" i="25"/>
  <c r="L43" i="25"/>
  <c r="L9" i="25"/>
  <c r="E46" i="25"/>
  <c r="E12" i="25"/>
  <c r="O45" i="25"/>
  <c r="O11" i="25"/>
  <c r="Q43" i="25"/>
  <c r="Q9" i="25"/>
  <c r="C21" i="25"/>
  <c r="C57" i="25"/>
  <c r="Q44" i="25"/>
  <c r="Q10" i="25"/>
  <c r="H41" i="25"/>
  <c r="H7" i="25"/>
  <c r="H22" i="25"/>
  <c r="H58" i="25"/>
  <c r="H27" i="25"/>
  <c r="D41" i="25"/>
  <c r="D7" i="25"/>
  <c r="D27" i="25"/>
  <c r="G29" i="25"/>
  <c r="G43" i="25"/>
  <c r="G9" i="25"/>
  <c r="I41" i="25"/>
  <c r="I7" i="25"/>
  <c r="I21" i="25"/>
  <c r="I57" i="25"/>
  <c r="I27" i="25"/>
  <c r="M42" i="25"/>
  <c r="M8" i="25"/>
  <c r="F21" i="25"/>
  <c r="F57" i="25"/>
  <c r="D61" i="25"/>
  <c r="G28" i="25"/>
  <c r="G42" i="25"/>
  <c r="G8" i="25"/>
  <c r="K43" i="25"/>
  <c r="K29" i="25"/>
  <c r="K9" i="25"/>
  <c r="K21" i="25"/>
  <c r="K57" i="25"/>
  <c r="J6" i="25"/>
  <c r="J26" i="25"/>
  <c r="J40" i="25"/>
  <c r="B64" i="21"/>
  <c r="D43" i="21"/>
  <c r="T64" i="21"/>
  <c r="AQ62" i="21"/>
  <c r="AN63" i="21"/>
  <c r="N63" i="21"/>
  <c r="N64" i="21"/>
  <c r="AN64" i="21"/>
  <c r="AQ63" i="21"/>
  <c r="M62" i="21"/>
  <c r="AZ62" i="21"/>
  <c r="AZ63" i="21"/>
  <c r="AG62" i="21"/>
  <c r="P12" i="17"/>
  <c r="Q12" i="17"/>
  <c r="AG12" i="17"/>
  <c r="AO12" i="17"/>
  <c r="AY62" i="21"/>
  <c r="AY63" i="21"/>
  <c r="AY64" i="21"/>
  <c r="AY12" i="17"/>
  <c r="BE12" i="17"/>
  <c r="G12" i="17"/>
  <c r="AS12" i="17"/>
  <c r="AC12" i="17"/>
  <c r="AP12" i="17"/>
  <c r="S63" i="21"/>
  <c r="S64" i="21"/>
  <c r="C12" i="17"/>
  <c r="W45" i="21"/>
  <c r="C45" i="21"/>
  <c r="Y61" i="21"/>
  <c r="W54" i="21"/>
  <c r="C54" i="21"/>
  <c r="U62" i="21"/>
  <c r="U63" i="21"/>
  <c r="AD43" i="21"/>
  <c r="BC64" i="21"/>
  <c r="AV45" i="21"/>
  <c r="AV50" i="21"/>
  <c r="Z61" i="21"/>
  <c r="AT61" i="21"/>
  <c r="AT62" i="21"/>
  <c r="E62" i="21"/>
  <c r="E63" i="21"/>
  <c r="AD47" i="21"/>
  <c r="AD50" i="21"/>
  <c r="AW45" i="21"/>
  <c r="AW50" i="21"/>
  <c r="AW62" i="21"/>
  <c r="AV61" i="21"/>
  <c r="D61" i="21"/>
  <c r="W47" i="21"/>
  <c r="C47" i="21"/>
  <c r="U12" i="17"/>
  <c r="AC61" i="21"/>
  <c r="AL52" i="21"/>
  <c r="AL57" i="21"/>
  <c r="AV52" i="21"/>
  <c r="AV57" i="21"/>
  <c r="Z62" i="21"/>
  <c r="AS52" i="21"/>
  <c r="AS57" i="21"/>
  <c r="AI62" i="21"/>
  <c r="AG63" i="21"/>
  <c r="AG64" i="21"/>
  <c r="W52" i="21"/>
  <c r="W57" i="21"/>
  <c r="C52" i="21"/>
  <c r="C57" i="21"/>
  <c r="K63" i="21"/>
  <c r="K64" i="21"/>
  <c r="AU62" i="21"/>
  <c r="BB63" i="21"/>
  <c r="BB64" i="21"/>
  <c r="V63" i="21"/>
  <c r="V64" i="21"/>
  <c r="R12" i="17"/>
  <c r="BB62" i="21"/>
  <c r="M63" i="21"/>
  <c r="M64" i="21"/>
  <c r="AK45" i="21"/>
  <c r="AK50" i="21"/>
  <c r="AK62" i="21"/>
  <c r="AL61" i="21"/>
  <c r="AJ61" i="21"/>
  <c r="AJ62" i="21"/>
  <c r="AI63" i="21"/>
  <c r="AI64" i="21"/>
  <c r="R64" i="21"/>
  <c r="AE61" i="21"/>
  <c r="AS45" i="21"/>
  <c r="AS50" i="21"/>
  <c r="AH62" i="21"/>
  <c r="L62" i="21"/>
  <c r="L63" i="21"/>
  <c r="AL45" i="21"/>
  <c r="AL50" i="21"/>
  <c r="AM61" i="21"/>
  <c r="AM62" i="21"/>
  <c r="AM63" i="21"/>
  <c r="G62" i="21"/>
  <c r="G63" i="21"/>
  <c r="AD53" i="21"/>
  <c r="AB12" i="17"/>
  <c r="E9" i="25"/>
  <c r="J9" i="25"/>
  <c r="J11" i="25"/>
  <c r="J13" i="25"/>
  <c r="N43" i="25"/>
  <c r="J43" i="25"/>
  <c r="M47" i="25"/>
  <c r="L46" i="25"/>
  <c r="E29" i="25"/>
  <c r="E43" i="25"/>
  <c r="F45" i="25"/>
  <c r="F23" i="25"/>
  <c r="F59" i="25"/>
  <c r="C23" i="25"/>
  <c r="C59" i="25"/>
  <c r="N10" i="25"/>
  <c r="N44" i="25"/>
  <c r="K23" i="25"/>
  <c r="K59" i="25"/>
  <c r="I44" i="25"/>
  <c r="I10" i="25"/>
  <c r="K44" i="25"/>
  <c r="K10" i="25"/>
  <c r="E45" i="25"/>
  <c r="E11" i="25"/>
  <c r="H46" i="25"/>
  <c r="H12" i="25"/>
  <c r="O44" i="25"/>
  <c r="O10" i="25"/>
  <c r="E23" i="25"/>
  <c r="E59" i="25"/>
  <c r="D46" i="25"/>
  <c r="D12" i="25"/>
  <c r="L48" i="25"/>
  <c r="L14" i="25"/>
  <c r="C22" i="25"/>
  <c r="C58" i="25"/>
  <c r="I22" i="25"/>
  <c r="I58" i="25"/>
  <c r="C11" i="25"/>
  <c r="C45" i="25"/>
  <c r="L11" i="25"/>
  <c r="L45" i="25"/>
  <c r="J47" i="25"/>
  <c r="F44" i="25"/>
  <c r="F10" i="25"/>
  <c r="M44" i="25"/>
  <c r="M10" i="25"/>
  <c r="N45" i="25"/>
  <c r="N11" i="25"/>
  <c r="F13" i="25"/>
  <c r="F47" i="25"/>
  <c r="H29" i="25"/>
  <c r="H43" i="25"/>
  <c r="H9" i="25"/>
  <c r="H21" i="25"/>
  <c r="H57" i="25"/>
  <c r="E48" i="25"/>
  <c r="E14" i="25"/>
  <c r="E30" i="25"/>
  <c r="P43" i="25"/>
  <c r="P9" i="25"/>
  <c r="M15" i="25"/>
  <c r="M49" i="25"/>
  <c r="O13" i="25"/>
  <c r="O47" i="25"/>
  <c r="K45" i="25"/>
  <c r="K11" i="25"/>
  <c r="G45" i="25"/>
  <c r="G11" i="25"/>
  <c r="P46" i="25"/>
  <c r="P12" i="25"/>
  <c r="G44" i="25"/>
  <c r="G10" i="25"/>
  <c r="G23" i="25"/>
  <c r="G59" i="25"/>
  <c r="G22" i="25"/>
  <c r="G58" i="25"/>
  <c r="F22" i="25"/>
  <c r="F58" i="25"/>
  <c r="I9" i="25"/>
  <c r="I29" i="25"/>
  <c r="I43" i="25"/>
  <c r="D43" i="25"/>
  <c r="D9" i="25"/>
  <c r="D29" i="25"/>
  <c r="D22" i="25"/>
  <c r="D58" i="25"/>
  <c r="D21" i="25"/>
  <c r="D57" i="25"/>
  <c r="Q12" i="25"/>
  <c r="Q46" i="25"/>
  <c r="Q45" i="25"/>
  <c r="Q11" i="25"/>
  <c r="C44" i="25"/>
  <c r="C10" i="25"/>
  <c r="J28" i="25"/>
  <c r="J42" i="25"/>
  <c r="J8" i="25"/>
  <c r="J23" i="25"/>
  <c r="J59" i="25"/>
  <c r="J21" i="25"/>
  <c r="J57" i="25"/>
  <c r="AZ64" i="21"/>
  <c r="D62" i="21"/>
  <c r="D63" i="21"/>
  <c r="AU63" i="21"/>
  <c r="AU64" i="21"/>
  <c r="AV12" i="17"/>
  <c r="G64" i="21"/>
  <c r="H12" i="17"/>
  <c r="AC62" i="21"/>
  <c r="AC63" i="21"/>
  <c r="AJ63" i="21"/>
  <c r="AJ64" i="21"/>
  <c r="AQ64" i="21"/>
  <c r="AR12" i="17"/>
  <c r="BC12" i="17"/>
  <c r="AZ12" i="17"/>
  <c r="W12" i="17"/>
  <c r="T12" i="17"/>
  <c r="AT63" i="21"/>
  <c r="AT64" i="21"/>
  <c r="AJ12" i="17"/>
  <c r="AH12" i="17"/>
  <c r="J52" i="21"/>
  <c r="J57" i="21"/>
  <c r="I52" i="21"/>
  <c r="I57" i="21"/>
  <c r="N12" i="17"/>
  <c r="BD12" i="17"/>
  <c r="AH63" i="21"/>
  <c r="AH64" i="21"/>
  <c r="C50" i="21"/>
  <c r="C62" i="21"/>
  <c r="C63" i="21"/>
  <c r="BA12" i="17"/>
  <c r="S12" i="17"/>
  <c r="L12" i="17"/>
  <c r="AD61" i="21"/>
  <c r="I45" i="21"/>
  <c r="I50" i="21"/>
  <c r="I62" i="21"/>
  <c r="J45" i="21"/>
  <c r="J50" i="21"/>
  <c r="J62" i="21"/>
  <c r="W50" i="21"/>
  <c r="W62" i="21"/>
  <c r="W63" i="21"/>
  <c r="AE63" i="21"/>
  <c r="Z63" i="21"/>
  <c r="Z64" i="21"/>
  <c r="U64" i="21"/>
  <c r="E64" i="21"/>
  <c r="L64" i="21"/>
  <c r="AL62" i="21"/>
  <c r="AL63" i="21"/>
  <c r="AK52" i="21"/>
  <c r="AK57" i="21"/>
  <c r="AK63" i="21"/>
  <c r="AK64" i="21"/>
  <c r="AP52" i="21"/>
  <c r="AP57" i="21"/>
  <c r="AP63" i="21"/>
  <c r="AP64" i="21"/>
  <c r="AS62" i="21"/>
  <c r="O12" i="17"/>
  <c r="Y62" i="21"/>
  <c r="AE62" i="21"/>
  <c r="AW52" i="21"/>
  <c r="AW57" i="21"/>
  <c r="AW63" i="21"/>
  <c r="AW64" i="21"/>
  <c r="AD54" i="21"/>
  <c r="AD57" i="21"/>
  <c r="AV62" i="21"/>
  <c r="Y63" i="21"/>
  <c r="J45" i="25"/>
  <c r="N46" i="25"/>
  <c r="N12" i="25"/>
  <c r="K46" i="25"/>
  <c r="K12" i="25"/>
  <c r="I12" i="25"/>
  <c r="I46" i="25"/>
  <c r="O46" i="25"/>
  <c r="O12" i="25"/>
  <c r="L50" i="25"/>
  <c r="L16" i="25"/>
  <c r="D30" i="25"/>
  <c r="D48" i="25"/>
  <c r="D14" i="25"/>
  <c r="E13" i="25"/>
  <c r="E47" i="25"/>
  <c r="H14" i="25"/>
  <c r="H48" i="25"/>
  <c r="H30" i="25"/>
  <c r="L47" i="25"/>
  <c r="L13" i="25"/>
  <c r="G47" i="25"/>
  <c r="G13" i="25"/>
  <c r="M46" i="25"/>
  <c r="M12" i="25"/>
  <c r="C46" i="25"/>
  <c r="C12" i="25"/>
  <c r="Q14" i="25"/>
  <c r="Q48" i="25"/>
  <c r="E50" i="25"/>
  <c r="E16" i="25"/>
  <c r="E32" i="25"/>
  <c r="G12" i="25"/>
  <c r="G46" i="25"/>
  <c r="N13" i="25"/>
  <c r="N47" i="25"/>
  <c r="C47" i="25"/>
  <c r="C13" i="25"/>
  <c r="D45" i="25"/>
  <c r="D11" i="25"/>
  <c r="D23" i="25"/>
  <c r="D59" i="25"/>
  <c r="P48" i="25"/>
  <c r="P14" i="25"/>
  <c r="K13" i="25"/>
  <c r="K47" i="25"/>
  <c r="M51" i="25"/>
  <c r="M17" i="25"/>
  <c r="Q47" i="25"/>
  <c r="Q13" i="25"/>
  <c r="P45" i="25"/>
  <c r="P11" i="25"/>
  <c r="F49" i="25"/>
  <c r="F31" i="25"/>
  <c r="F15" i="25"/>
  <c r="I45" i="25"/>
  <c r="I11" i="25"/>
  <c r="I23" i="25"/>
  <c r="I59" i="25"/>
  <c r="O49" i="25"/>
  <c r="O15" i="25"/>
  <c r="F46" i="25"/>
  <c r="F12" i="25"/>
  <c r="H11" i="25"/>
  <c r="H45" i="25"/>
  <c r="H23" i="25"/>
  <c r="H59" i="25"/>
  <c r="J49" i="25"/>
  <c r="J31" i="25"/>
  <c r="J15" i="25"/>
  <c r="J22" i="25"/>
  <c r="J58" i="25"/>
  <c r="J44" i="25"/>
  <c r="J10" i="25"/>
  <c r="J63" i="21"/>
  <c r="AE64" i="21"/>
  <c r="Y64" i="21"/>
  <c r="D64" i="21"/>
  <c r="E12" i="17"/>
  <c r="I63" i="21"/>
  <c r="AC64" i="21"/>
  <c r="AD12" i="17"/>
  <c r="Z12" i="17"/>
  <c r="AF12" i="17"/>
  <c r="AI12" i="17"/>
  <c r="AA12" i="17"/>
  <c r="AL12" i="17"/>
  <c r="AU12" i="17"/>
  <c r="AX12" i="17"/>
  <c r="W64" i="21"/>
  <c r="V12" i="17"/>
  <c r="AS64" i="21"/>
  <c r="AV63" i="21"/>
  <c r="AV64" i="21"/>
  <c r="C64" i="21"/>
  <c r="M12" i="17"/>
  <c r="AQ12" i="17"/>
  <c r="AS63" i="21"/>
  <c r="J64" i="21"/>
  <c r="F12" i="17"/>
  <c r="I64" i="21"/>
  <c r="AD62" i="21"/>
  <c r="AD63" i="21"/>
  <c r="AD64" i="21"/>
  <c r="AK12" i="17"/>
  <c r="N48" i="25"/>
  <c r="N14" i="25"/>
  <c r="I48" i="25"/>
  <c r="I14" i="25"/>
  <c r="I30" i="25"/>
  <c r="K14" i="25"/>
  <c r="K30" i="25"/>
  <c r="K48" i="25"/>
  <c r="E49" i="25"/>
  <c r="E31" i="25"/>
  <c r="E15" i="25"/>
  <c r="H50" i="25"/>
  <c r="H16" i="25"/>
  <c r="H32" i="25"/>
  <c r="O14" i="25"/>
  <c r="O48" i="25"/>
  <c r="D50" i="25"/>
  <c r="D32" i="25"/>
  <c r="D16" i="25"/>
  <c r="L52" i="25"/>
  <c r="L18" i="25"/>
  <c r="C49" i="25"/>
  <c r="C31" i="25"/>
  <c r="C15" i="25"/>
  <c r="Q50" i="25"/>
  <c r="Q16" i="25"/>
  <c r="C14" i="25"/>
  <c r="C48" i="25"/>
  <c r="C30" i="25"/>
  <c r="L49" i="25"/>
  <c r="L15" i="25"/>
  <c r="O17" i="25"/>
  <c r="O51" i="25"/>
  <c r="N15" i="25"/>
  <c r="N49" i="25"/>
  <c r="P47" i="25"/>
  <c r="P13" i="25"/>
  <c r="P50" i="25"/>
  <c r="P16" i="25"/>
  <c r="F51" i="25"/>
  <c r="F33" i="25"/>
  <c r="F17" i="25"/>
  <c r="Q15" i="25"/>
  <c r="Q49" i="25"/>
  <c r="D47" i="25"/>
  <c r="D13" i="25"/>
  <c r="H47" i="25"/>
  <c r="H13" i="25"/>
  <c r="M53" i="25"/>
  <c r="M19" i="25"/>
  <c r="M55" i="25"/>
  <c r="M14" i="25"/>
  <c r="M48" i="25"/>
  <c r="F48" i="25"/>
  <c r="F30" i="25"/>
  <c r="F14" i="25"/>
  <c r="I47" i="25"/>
  <c r="I13" i="25"/>
  <c r="E52" i="25"/>
  <c r="E34" i="25"/>
  <c r="E18" i="25"/>
  <c r="J51" i="25"/>
  <c r="J17" i="25"/>
  <c r="J33" i="25"/>
  <c r="K49" i="25"/>
  <c r="K15" i="25"/>
  <c r="K31" i="25"/>
  <c r="G48" i="25"/>
  <c r="G30" i="25"/>
  <c r="G14" i="25"/>
  <c r="G49" i="25"/>
  <c r="G31" i="25"/>
  <c r="G15" i="25"/>
  <c r="J46" i="25"/>
  <c r="J12" i="25"/>
  <c r="AE12" i="17"/>
  <c r="D12" i="17"/>
  <c r="AP67" i="21"/>
  <c r="R67" i="21"/>
  <c r="Z67" i="21"/>
  <c r="L67" i="21"/>
  <c r="AY67" i="21"/>
  <c r="N67" i="21"/>
  <c r="F67" i="21"/>
  <c r="AM67" i="21"/>
  <c r="E67" i="21"/>
  <c r="AI67" i="21"/>
  <c r="AV67" i="21"/>
  <c r="M67" i="21"/>
  <c r="AZ67" i="21"/>
  <c r="AB67" i="21"/>
  <c r="T67" i="21"/>
  <c r="AQ67" i="21"/>
  <c r="AN67" i="21"/>
  <c r="AT67" i="21"/>
  <c r="AF67" i="21"/>
  <c r="Y67" i="21"/>
  <c r="J67" i="21"/>
  <c r="AS67" i="21"/>
  <c r="AA67" i="21"/>
  <c r="C67" i="21"/>
  <c r="AE67" i="21"/>
  <c r="I67" i="21"/>
  <c r="AX67" i="21"/>
  <c r="AC67" i="21"/>
  <c r="BA67" i="21"/>
  <c r="X67" i="21"/>
  <c r="AL67" i="21"/>
  <c r="O67" i="21"/>
  <c r="AK67" i="21"/>
  <c r="D67" i="21"/>
  <c r="G67" i="21"/>
  <c r="H67" i="21"/>
  <c r="BD67" i="21"/>
  <c r="AJ67" i="21"/>
  <c r="AW67" i="21"/>
  <c r="Q67" i="21"/>
  <c r="BB67" i="21"/>
  <c r="BE67" i="21"/>
  <c r="BC67" i="21"/>
  <c r="AD67" i="21"/>
  <c r="W67" i="21"/>
  <c r="AR67" i="21"/>
  <c r="AG67" i="21"/>
  <c r="B67" i="21"/>
  <c r="AD65" i="21"/>
  <c r="AE13" i="17"/>
  <c r="AU67" i="21"/>
  <c r="U67" i="21"/>
  <c r="K67" i="21"/>
  <c r="AO67" i="21"/>
  <c r="V67" i="21"/>
  <c r="S67" i="21"/>
  <c r="AH67" i="21"/>
  <c r="P67" i="21"/>
  <c r="AT12" i="17"/>
  <c r="I65" i="21"/>
  <c r="J13" i="17"/>
  <c r="J12" i="17"/>
  <c r="K12" i="17"/>
  <c r="AW12" i="17"/>
  <c r="X12" i="17"/>
  <c r="N50" i="25"/>
  <c r="N16" i="25"/>
  <c r="K50" i="25"/>
  <c r="K32" i="25"/>
  <c r="K16" i="25"/>
  <c r="I16" i="25"/>
  <c r="I50" i="25"/>
  <c r="I32" i="25"/>
  <c r="O16" i="25"/>
  <c r="O50" i="25"/>
  <c r="H18" i="25"/>
  <c r="H34" i="25"/>
  <c r="H52" i="25"/>
  <c r="D34" i="25"/>
  <c r="D18" i="25"/>
  <c r="D52" i="25"/>
  <c r="E33" i="25"/>
  <c r="E51" i="25"/>
  <c r="E17" i="25"/>
  <c r="L20" i="25"/>
  <c r="L56" i="25"/>
  <c r="L54" i="25"/>
  <c r="D31" i="25"/>
  <c r="D15" i="25"/>
  <c r="D49" i="25"/>
  <c r="M50" i="25"/>
  <c r="M16" i="25"/>
  <c r="P52" i="25"/>
  <c r="P18" i="25"/>
  <c r="N51" i="25"/>
  <c r="N17" i="25"/>
  <c r="Q18" i="25"/>
  <c r="Q52" i="25"/>
  <c r="E20" i="25"/>
  <c r="E56" i="25"/>
  <c r="E54" i="25"/>
  <c r="K17" i="25"/>
  <c r="K51" i="25"/>
  <c r="K33" i="25"/>
  <c r="Q17" i="25"/>
  <c r="Q51" i="25"/>
  <c r="O19" i="25"/>
  <c r="O55" i="25"/>
  <c r="O53" i="25"/>
  <c r="G33" i="25"/>
  <c r="G51" i="25"/>
  <c r="G17" i="25"/>
  <c r="F19" i="25"/>
  <c r="F55" i="25"/>
  <c r="F35" i="25"/>
  <c r="F53" i="25"/>
  <c r="L17" i="25"/>
  <c r="L51" i="25"/>
  <c r="G16" i="25"/>
  <c r="G50" i="25"/>
  <c r="G32" i="25"/>
  <c r="I15" i="25"/>
  <c r="I31" i="25"/>
  <c r="I49" i="25"/>
  <c r="C16" i="25"/>
  <c r="C32" i="25"/>
  <c r="C50" i="25"/>
  <c r="F16" i="25"/>
  <c r="F50" i="25"/>
  <c r="F32" i="25"/>
  <c r="P15" i="25"/>
  <c r="P49" i="25"/>
  <c r="C17" i="25"/>
  <c r="C33" i="25"/>
  <c r="C51" i="25"/>
  <c r="J19" i="25"/>
  <c r="J55" i="25"/>
  <c r="J53" i="25"/>
  <c r="J35" i="25"/>
  <c r="H15" i="25"/>
  <c r="H49" i="25"/>
  <c r="H31" i="25"/>
  <c r="J48" i="25"/>
  <c r="J30" i="25"/>
  <c r="J14" i="25"/>
  <c r="AS65" i="21"/>
  <c r="AT13" i="17"/>
  <c r="AV65" i="21"/>
  <c r="AW13" i="17"/>
  <c r="W65" i="21"/>
  <c r="X13" i="17"/>
  <c r="C65" i="21"/>
  <c r="D13" i="17"/>
  <c r="J65" i="21"/>
  <c r="K13" i="17"/>
  <c r="AM65" i="21"/>
  <c r="AN13" i="17"/>
  <c r="AL65" i="21"/>
  <c r="AM13" i="17"/>
  <c r="BE65" i="21"/>
  <c r="BF13" i="17"/>
  <c r="X65" i="21"/>
  <c r="Y13" i="17"/>
  <c r="BA65" i="21"/>
  <c r="BB13" i="17"/>
  <c r="H65" i="21"/>
  <c r="I13" i="17"/>
  <c r="AF65" i="21"/>
  <c r="AG13" i="17"/>
  <c r="AX65" i="21"/>
  <c r="AY13" i="17"/>
  <c r="F65" i="21"/>
  <c r="G13" i="17"/>
  <c r="O65" i="21"/>
  <c r="P13" i="17"/>
  <c r="BD65" i="21"/>
  <c r="BE13" i="17"/>
  <c r="AB65" i="21"/>
  <c r="AC13" i="17"/>
  <c r="P65" i="21"/>
  <c r="Q13" i="17"/>
  <c r="AO65" i="21"/>
  <c r="AP13" i="17"/>
  <c r="AQ65" i="21"/>
  <c r="AR13" i="17"/>
  <c r="AN65" i="21"/>
  <c r="AO13" i="17"/>
  <c r="B65" i="21"/>
  <c r="C13" i="17"/>
  <c r="Q65" i="21"/>
  <c r="R13" i="17"/>
  <c r="AA65" i="21"/>
  <c r="AB13" i="17"/>
  <c r="AR65" i="21"/>
  <c r="AS13" i="17"/>
  <c r="T65" i="21"/>
  <c r="U13" i="17"/>
  <c r="AY65" i="21"/>
  <c r="AZ13" i="17"/>
  <c r="M65" i="21"/>
  <c r="N13" i="17"/>
  <c r="BC65" i="21"/>
  <c r="BD13" i="17"/>
  <c r="BB65" i="21"/>
  <c r="BC13" i="17"/>
  <c r="V65" i="21"/>
  <c r="W13" i="17"/>
  <c r="AU65" i="21"/>
  <c r="AV13" i="17"/>
  <c r="S65" i="21"/>
  <c r="T13" i="17"/>
  <c r="AI65" i="21"/>
  <c r="AJ13" i="17"/>
  <c r="K65" i="21"/>
  <c r="L13" i="17"/>
  <c r="AZ65" i="21"/>
  <c r="BA13" i="17"/>
  <c r="D65" i="21"/>
  <c r="E13" i="17"/>
  <c r="AC65" i="21"/>
  <c r="AD13" i="17"/>
  <c r="G65" i="21"/>
  <c r="H13" i="17"/>
  <c r="R65" i="21"/>
  <c r="S13" i="17"/>
  <c r="AG65" i="21"/>
  <c r="AH13" i="17"/>
  <c r="N65" i="21"/>
  <c r="O13" i="17"/>
  <c r="AW65" i="21"/>
  <c r="AX13" i="17"/>
  <c r="L65" i="21"/>
  <c r="M13" i="17"/>
  <c r="Y65" i="21"/>
  <c r="Z13" i="17"/>
  <c r="AJ65" i="21"/>
  <c r="AK13" i="17"/>
  <c r="AE65" i="21"/>
  <c r="AF13" i="17"/>
  <c r="AH65" i="21"/>
  <c r="AI13" i="17"/>
  <c r="Z65" i="21"/>
  <c r="AA13" i="17"/>
  <c r="AT65" i="21"/>
  <c r="AU13" i="17"/>
  <c r="E65" i="21"/>
  <c r="F13" i="17"/>
  <c r="U65" i="21"/>
  <c r="V13" i="17"/>
  <c r="AP65" i="21"/>
  <c r="AQ13" i="17"/>
  <c r="AK65" i="21"/>
  <c r="AL13" i="17"/>
  <c r="N52" i="25"/>
  <c r="N18" i="25"/>
  <c r="I34" i="25"/>
  <c r="I18" i="25"/>
  <c r="I52" i="25"/>
  <c r="K52" i="25"/>
  <c r="K18" i="25"/>
  <c r="K34" i="25"/>
  <c r="E53" i="25"/>
  <c r="E35" i="25"/>
  <c r="E36" i="25"/>
  <c r="E19" i="25"/>
  <c r="E55" i="25"/>
  <c r="D54" i="25"/>
  <c r="D20" i="25"/>
  <c r="D56" i="25"/>
  <c r="H20" i="25"/>
  <c r="H56" i="25"/>
  <c r="H54" i="25"/>
  <c r="O18" i="25"/>
  <c r="O52" i="25"/>
  <c r="G53" i="25"/>
  <c r="G35" i="25"/>
  <c r="G19" i="25"/>
  <c r="G55" i="25"/>
  <c r="P54" i="25"/>
  <c r="P20" i="25"/>
  <c r="P56" i="25"/>
  <c r="K35" i="25"/>
  <c r="K19" i="25"/>
  <c r="K55" i="25"/>
  <c r="K53" i="25"/>
  <c r="K36" i="25"/>
  <c r="C53" i="25"/>
  <c r="C35" i="25"/>
  <c r="C19" i="25"/>
  <c r="C55" i="25"/>
  <c r="M52" i="25"/>
  <c r="M18" i="25"/>
  <c r="I51" i="25"/>
  <c r="I17" i="25"/>
  <c r="I33" i="25"/>
  <c r="Q20" i="25"/>
  <c r="Q56" i="25"/>
  <c r="Q54" i="25"/>
  <c r="D51" i="25"/>
  <c r="D17" i="25"/>
  <c r="D33" i="25"/>
  <c r="F36" i="25"/>
  <c r="Q53" i="25"/>
  <c r="Q19" i="25"/>
  <c r="Q55" i="25"/>
  <c r="N19" i="25"/>
  <c r="N55" i="25"/>
  <c r="N53" i="25"/>
  <c r="G52" i="25"/>
  <c r="G18" i="25"/>
  <c r="G34" i="25"/>
  <c r="C52" i="25"/>
  <c r="C34" i="25"/>
  <c r="C18" i="25"/>
  <c r="H17" i="25"/>
  <c r="H51" i="25"/>
  <c r="H33" i="25"/>
  <c r="P17" i="25"/>
  <c r="P51" i="25"/>
  <c r="L53" i="25"/>
  <c r="L19" i="25"/>
  <c r="L55" i="25"/>
  <c r="F18" i="25"/>
  <c r="F52" i="25"/>
  <c r="F34" i="25"/>
  <c r="J32" i="25"/>
  <c r="J16" i="25"/>
  <c r="J50" i="25"/>
  <c r="N20" i="25"/>
  <c r="N56" i="25"/>
  <c r="N54" i="25"/>
  <c r="C36" i="25"/>
  <c r="I20" i="25"/>
  <c r="I56" i="25"/>
  <c r="I54" i="25"/>
  <c r="K20" i="25"/>
  <c r="K56" i="25"/>
  <c r="K54" i="25"/>
  <c r="G36" i="25"/>
  <c r="O20" i="25"/>
  <c r="O56" i="25"/>
  <c r="O54" i="25"/>
  <c r="P53" i="25"/>
  <c r="P19" i="25"/>
  <c r="P55" i="25"/>
  <c r="H35" i="25"/>
  <c r="H36" i="25"/>
  <c r="H19" i="25"/>
  <c r="H55" i="25"/>
  <c r="H53" i="25"/>
  <c r="C20" i="25"/>
  <c r="C56" i="25"/>
  <c r="C54" i="25"/>
  <c r="G54" i="25"/>
  <c r="G20" i="25"/>
  <c r="G56" i="25"/>
  <c r="M54" i="25"/>
  <c r="M20" i="25"/>
  <c r="M56" i="25"/>
  <c r="D35" i="25"/>
  <c r="D36" i="25"/>
  <c r="D19" i="25"/>
  <c r="D55" i="25"/>
  <c r="D53" i="25"/>
  <c r="F54" i="25"/>
  <c r="F20" i="25"/>
  <c r="F56" i="25"/>
  <c r="I53" i="25"/>
  <c r="I35" i="25"/>
  <c r="I36" i="25"/>
  <c r="I19" i="25"/>
  <c r="I55" i="25"/>
  <c r="J52" i="25"/>
  <c r="J34" i="25"/>
  <c r="J36" i="25"/>
  <c r="J18" i="25"/>
  <c r="J20" i="25"/>
  <c r="J56" i="25"/>
  <c r="J54" i="25"/>
</calcChain>
</file>

<file path=xl/connections.xml><?xml version="1.0" encoding="utf-8"?>
<connections xmlns="http://schemas.openxmlformats.org/spreadsheetml/2006/main">
  <connection id="1" name="Bilanz" type="4" refreshedVersion="5" background="1" saveData="1">
    <webPr sourceData="1" parsePre="1" consecutive="1" xl2000="1" url="http://tum.go4c.org/group/boston/management-overview" htmlTables="1">
      <tables count="2">
        <x v="6"/>
        <x v="7"/>
      </tables>
    </webPr>
  </connection>
  <connection id="2" name="CFO_BSC" type="4" refreshedVersion="5" background="1" saveData="1">
    <webPr sourceData="1" parsePre="1" consecutive="1" xl2000="1" url="http://tum.go4c.org/group/boston/balance-scorecard?p_p_id=go4c_bsc_rm_portlet_WAR_go4cbscrmportlet_INSTANCE_s6L2&amp;p_p_lifecycle=0&amp;p_p_state=maximized&amp;p_p_mode=view&amp;CURRENT_ROLE=CFO" htmlTables="1">
      <tables count="1">
        <x v="5"/>
      </tables>
    </webPr>
  </connection>
  <connection id="3" name="CFO_Res" type="4" refreshedVersion="5" background="1" saveData="1">
    <webPr sourceData="1" parsePre="1" consecutive="1" xl2000="1" url="http://tum.go4c.org/group/boston/balance-scorecard?p_p_id=go4c_bsc_rm_portlet_WAR_go4cbscrmportlet_INSTANCE_s6L2&amp;p_p_lifecycle=0&amp;p_p_state=maximized&amp;p_p_mode=view&amp;TABS_FORWARD=RESOURCE_MGMT_FORWARD&amp;CURRENT_ROLE=CFO" htmlTables="1">
      <tables count="1">
        <x v="1"/>
      </tables>
    </webPr>
  </connection>
  <connection id="4" name="CIO_BSC" type="4" refreshedVersion="5" background="1" saveData="1">
    <webPr sourceData="1" parsePre="1" consecutive="1" xl2000="1" url="http://tum.go4c.org/group/boston/balance-scorecard?p_p_id=go4c_bsc_rm_portlet_WAR_go4cbscrmportlet_INSTANCE_s6L2&amp;p_p_lifecycle=0&amp;p_p_state=maximized&amp;p_p_mode=view&amp;CURRENT_ROLE=CIO" htmlTables="1">
      <tables count="4">
        <x v="2"/>
        <x v="3"/>
        <x v="4"/>
        <x v="5"/>
      </tables>
    </webPr>
  </connection>
  <connection id="5" name="CIO_Res" type="4" refreshedVersion="5" background="1" saveData="1">
    <webPr sourceData="1" parsePre="1" consecutive="1" xl2000="1" url="http://tum.go4c.org/group/boston/balance-scorecard?p_p_id=go4c_bsc_rm_portlet_WAR_go4cbscrmportlet_INSTANCE_s6L2&amp;p_p_lifecycle=0&amp;p_p_state=maximized&amp;p_p_mode=view&amp;TABS_FORWARD=RESOURCE_MGMT_FORWARD&amp;CURRENT_ROLE=CIO" htmlTables="1">
      <tables count="3">
        <x v="1"/>
        <x v="2"/>
        <x v="3"/>
      </tables>
    </webPr>
  </connection>
  <connection id="6" name="CMO_BSC" type="4" refreshedVersion="5" background="1" saveData="1">
    <webPr sourceData="1" parsePre="1" consecutive="1" xl2000="1" url="http://tum.go4c.org/group/boston/balance-scorecard?p_p_id=go4c_bsc_rm_portlet_WAR_go4cbscrmportlet_INSTANCE_s6L2&amp;p_p_lifecycle=0&amp;p_p_state=maximized&amp;p_p_mode=view&amp;CURRENT_ROLE=CMO" htmlTables="1">
      <tables count="4">
        <x v="2"/>
        <x v="3"/>
        <x v="4"/>
        <x v="5"/>
      </tables>
    </webPr>
  </connection>
  <connection id="7" name="CMO_Res" type="4" refreshedVersion="5" background="1" saveData="1">
    <webPr sourceData="1" parsePre="1" consecutive="1" xl2000="1" url="http://tum.go4c.org/group/boston/balance-scorecard?p_p_id=go4c_bsc_rm_portlet_WAR_go4cbscrmportlet_INSTANCE_s6L2&amp;p_p_lifecycle=0&amp;p_p_state=maximized&amp;p_p_mode=view&amp;TABS_FORWARD=RESOURCE_MGMT_FORWARD&amp;CURRENT_ROLE=CMO" htmlTables="1">
      <tables count="2">
        <x v="1"/>
        <x v="2"/>
      </tables>
    </webPr>
  </connection>
  <connection id="8" name="COO_BSC" type="4" refreshedVersion="5" background="1" saveData="1">
    <webPr sourceData="1" parsePre="1" consecutive="1" xl2000="1" url="http://tum.go4c.org/group/boston/balance-scorecard?p_p_id=go4c_bsc_rm_portlet_WAR_go4cbscrmportlet_INSTANCE_s6L2&amp;p_p_lifecycle=0&amp;p_p_state=maximized&amp;p_p_mode=view&amp;CURRENT_ROLE=COO" htmlTables="1">
      <tables count="4">
        <x v="2"/>
        <x v="3"/>
        <x v="4"/>
        <x v="5"/>
      </tables>
    </webPr>
  </connection>
  <connection id="9" name="COO_Res" type="4" refreshedVersion="5" background="1" saveData="1">
    <webPr sourceData="1" parsePre="1" consecutive="1" xl2000="1" url="http://tum.go4c.org/group/boston/balance-scorecard?p_p_id=go4c_bsc_rm_portlet_WAR_go4cbscrmportlet_INSTANCE_s6L2&amp;p_p_lifecycle=0&amp;p_p_state=maximized&amp;p_p_mode=view&amp;TABS_FORWARD=RESOURCE_MGMT_FORWARD&amp;CURRENT_ROLE=COO" htmlTables="1">
      <tables count="2">
        <x v="1"/>
        <x v="2"/>
      </tables>
    </webPr>
  </connection>
  <connection id="10" name="ProcessDev" type="4" refreshedVersion="5" background="1" saveData="1">
    <webPr sourceData="1" parsePre="1" consecutive="1" xl2000="1" url="http://tum.go4c.org/group/boston/management-overview?p_p_id=go4c_mgmtoverview_portlet_WAR_go4cmgmtoverviewportlet_INSTANCE_lBa8&amp;p_p_lifecycle=0&amp;p_p_state=maximized&amp;p_p_mode=view&amp;TABS_FORWARD=PROCESS_DEVELOPMENT_FORWARD" htmlTables="1">
      <tables count="8">
        <x v="1"/>
        <x v="2"/>
        <x v="3"/>
        <x v="4"/>
        <x v="5"/>
        <x v="6"/>
        <x v="7"/>
        <x v="8"/>
      </tables>
    </webPr>
  </connection>
  <connection id="11" name="ProfitLoss" type="4" refreshedVersion="5" background="1" saveData="1">
    <webPr sourceData="1" parsePre="1" consecutive="1" xl2000="1" url="http://tum.go4c.org/group/boston/management-overview?p_p_id=go4c_mgmtoverview_portlet_WAR_go4cmgmtoverviewportlet_INSTANCE_lBa8&amp;p_p_lifecycle=0&amp;p_p_state=maximized&amp;p_p_mode=view&amp;p_p_col_id=column-2&amp;p_p_col_count=1&amp;TABS_FORWARD=PROFIT_LOSS_STMT_FORWARD" htmlTables="1">
      <tables count="1">
        <x v="1"/>
      </tables>
    </webPr>
  </connection>
</connections>
</file>

<file path=xl/sharedStrings.xml><?xml version="1.0" encoding="utf-8"?>
<sst xmlns="http://schemas.openxmlformats.org/spreadsheetml/2006/main" count="3031" uniqueCount="979">
  <si>
    <t>No. of Incidents/ Supp. Employees</t>
  </si>
  <si>
    <t>Support Service Level Server</t>
  </si>
  <si>
    <t>Support Service Level Stor.&amp;Com.</t>
  </si>
  <si>
    <t>Support Service Level Bus.Apps.</t>
  </si>
  <si>
    <t>Support Service Level Deskt.&amp;Off.</t>
  </si>
  <si>
    <t>Client Management</t>
  </si>
  <si>
    <t>People Development</t>
  </si>
  <si>
    <t>Skill Level IT Dev. Dev.Know.</t>
  </si>
  <si>
    <t>Skill Level IT Dev. Supp.Know.</t>
  </si>
  <si>
    <t>Skill Level IT Ser.+ Syst. SW Dev.Know.</t>
  </si>
  <si>
    <t>Skill Level IT Ser. + Syst. SW Supp.Know.</t>
  </si>
  <si>
    <t>Skill Level IT Infrastr. Dev.Know.</t>
  </si>
  <si>
    <t>Skill Level IT Infrastr. Supp.Know.</t>
  </si>
  <si>
    <t>Skill Level IT Bus. Appl. Dev.Know.</t>
  </si>
  <si>
    <t>Skill Level IT Bus. Appl. Supp.Know.</t>
  </si>
  <si>
    <t>Skill Level IT Desk.+ Off. Dev.Know.</t>
  </si>
  <si>
    <t>Skill Level IT Desk.+ Off. Supp.Know.</t>
  </si>
  <si>
    <t>Utilization IT Developers</t>
  </si>
  <si>
    <t>Utilization Emp. IT Server &amp; Syst. SW</t>
  </si>
  <si>
    <t>Utilization Emp. IT Infrastr.</t>
  </si>
  <si>
    <t>Utilization Emp. IT Bus.Apps.</t>
  </si>
  <si>
    <t>Utilization Emp. IT Desk.&amp; Off.</t>
  </si>
  <si>
    <t>Satisf. IT Developers</t>
  </si>
  <si>
    <t>Satisf. IT Serv.+ Syst. SW Employees</t>
  </si>
  <si>
    <t>Satisf. IT Comm.Infrastruct. Employees</t>
  </si>
  <si>
    <t>Satisf. IT Bus. Appl. Employees</t>
  </si>
  <si>
    <t>Satisf. IT Desk.+ Off. Employees</t>
  </si>
  <si>
    <t>Processes</t>
  </si>
  <si>
    <t>Age of IT Server</t>
  </si>
  <si>
    <t>Age of IT Storage</t>
  </si>
  <si>
    <t>Age of IT Comm.Infrastructure</t>
  </si>
  <si>
    <t>Age of IT System SW</t>
  </si>
  <si>
    <t>Age of Bus.Apps. Marketing</t>
  </si>
  <si>
    <t>Average Age of Desktops</t>
  </si>
  <si>
    <t>Average Age of Office-SW</t>
  </si>
  <si>
    <t>Variance Server Hardware</t>
  </si>
  <si>
    <t>Variance of Comm. Infrastructure</t>
  </si>
  <si>
    <t>Variance of System SW</t>
  </si>
  <si>
    <t>Variance Bus.Apps. Marketing</t>
  </si>
  <si>
    <t>Variance PCs Marketing</t>
  </si>
  <si>
    <t>Variance Office SW Marketing</t>
  </si>
  <si>
    <t>Utilization Server</t>
  </si>
  <si>
    <t>Utilization Comm. Infrastruct.</t>
  </si>
  <si>
    <t>Error Rate of IT Emp Support</t>
  </si>
  <si>
    <t>Quality of IT Processes Support</t>
  </si>
  <si>
    <t>Finance</t>
  </si>
  <si>
    <t>IT Cost / Inc. Ratio</t>
  </si>
  <si>
    <t>IT Employees/Total Administration</t>
  </si>
  <si>
    <t>Ratio IT Mat. vs. Total Admin.</t>
  </si>
  <si>
    <t>Ratio Other / Total Admin.</t>
  </si>
  <si>
    <t>CIO</t>
  </si>
  <si>
    <t>Net Interest Inc./ Tot. Income</t>
  </si>
  <si>
    <t>Net Trading Result/ Tot. Income</t>
  </si>
  <si>
    <t>Net Comm. Fees / Tot. Inc.</t>
  </si>
  <si>
    <t>Other Oper. Result/ Tot. Inc.</t>
  </si>
  <si>
    <t>Operating Inc./ Thsd. Employees</t>
  </si>
  <si>
    <t>Total Costs/Inc. Ratio</t>
  </si>
  <si>
    <t>CFO</t>
  </si>
  <si>
    <t>Customer Satisfaction</t>
  </si>
  <si>
    <t>Market Share - New Loans Volume</t>
  </si>
  <si>
    <t>Market Share - New Sav. Volume</t>
  </si>
  <si>
    <t>Satisf. of Marketing Employees</t>
  </si>
  <si>
    <t>Utilization Marketing Employees</t>
  </si>
  <si>
    <t>Skill Level Marketing</t>
  </si>
  <si>
    <t>Marketing Efficiency for product Car Financing Loans</t>
  </si>
  <si>
    <t>Marketing Efficiency for product Savings Account</t>
  </si>
  <si>
    <t>Error Rate of Mark. Employees</t>
  </si>
  <si>
    <t>Quality of Marketing Processes</t>
  </si>
  <si>
    <t>Marketing Expenditures Loans/Total Mark. Exp. Loans Competitors</t>
  </si>
  <si>
    <t>Marketing Expenditures Global/Total Mark. Exp. Global Competitors</t>
  </si>
  <si>
    <t>Marketing Expenditures Savings/Total Mark. Exp. Savings Competitors</t>
  </si>
  <si>
    <t>Effect Mark. Exp. Global/Av. Mark. Exp. Global Competitors</t>
  </si>
  <si>
    <t>Effect Mark. Exp. Loans/Av. Mark. Exp. Loans Competitors</t>
  </si>
  <si>
    <t>Effect Mark. Exp. Savings/Av. Mark. Exp. Savings Competitors</t>
  </si>
  <si>
    <t>CMO</t>
  </si>
  <si>
    <t>S&amp;M Quality Loans</t>
  </si>
  <si>
    <t>Quality of Origination Loans</t>
  </si>
  <si>
    <t>Servicing Quality Loans</t>
  </si>
  <si>
    <t>S&amp;M Quality Savings</t>
  </si>
  <si>
    <t>Quality of Origination Savings</t>
  </si>
  <si>
    <t>Servicing Quality Savings</t>
  </si>
  <si>
    <t>Satisf. of S&amp;M Loans Employees</t>
  </si>
  <si>
    <t>Satisf. of Orig. Loans Employees</t>
  </si>
  <si>
    <t>Satisf. of Servicing Loans Employees</t>
  </si>
  <si>
    <t>Satisf. of S&amp;M Sav. Employees</t>
  </si>
  <si>
    <t>Satisf. of Orig. Sav. Employees</t>
  </si>
  <si>
    <t>Satisf. of Servicing Savings Employees</t>
  </si>
  <si>
    <t>Emp. Utilization S&amp;M Loans</t>
  </si>
  <si>
    <t>Emp. Utilization Orig. Loans</t>
  </si>
  <si>
    <t>Emp. Utilization Serv. Loans</t>
  </si>
  <si>
    <t>Emp. Utilization S&amp;M Savings</t>
  </si>
  <si>
    <t>Emp. Utilization Orig. Savings</t>
  </si>
  <si>
    <t>Emp. Utilization Serv. Savings</t>
  </si>
  <si>
    <t>Skill Level S&amp;M Loans</t>
  </si>
  <si>
    <t>Skill Level Org. Loans</t>
  </si>
  <si>
    <t>Skill Level Serv. Loans</t>
  </si>
  <si>
    <t>Skill Level S&amp;M Savings</t>
  </si>
  <si>
    <t>Skill Level Orig. Savings</t>
  </si>
  <si>
    <t>Skill Level Serv. Savings</t>
  </si>
  <si>
    <t>Processing Time per Contract S&amp;M Loans</t>
  </si>
  <si>
    <t>Processing Time per Contract Origination Loans</t>
  </si>
  <si>
    <t>Processing Time per Contract Servicing Loans</t>
  </si>
  <si>
    <t>Processing Time per Contract S&amp;M Savings</t>
  </si>
  <si>
    <t>Processing Time per Contract Origination Savings</t>
  </si>
  <si>
    <t>Processing Time per Contract Servicing Savings</t>
  </si>
  <si>
    <t>Average Effectiveness Empl. S&amp;M Loans</t>
  </si>
  <si>
    <t>Average Effectiveness Empl. Origination Loans</t>
  </si>
  <si>
    <t>Average Effectiveness Empl. Servicing Loans</t>
  </si>
  <si>
    <t>Average Effectiveness Empl. S&amp;M Savings</t>
  </si>
  <si>
    <t>Average Effectiveness Empl. Origination Sav.</t>
  </si>
  <si>
    <t>Average Effectiveness Empl. Servicing Sav.</t>
  </si>
  <si>
    <t>Error Rate S&amp;M Loans</t>
  </si>
  <si>
    <t>Error Rate Orig. Loans</t>
  </si>
  <si>
    <t>Error Rate Servicing Loans</t>
  </si>
  <si>
    <t>Error Rate S&amp;M Savings</t>
  </si>
  <si>
    <t>Error Rate Orig. Savings</t>
  </si>
  <si>
    <t>Error Rate Servicing Savings</t>
  </si>
  <si>
    <t>Ratio Employees Organizat. vs. total Employees</t>
  </si>
  <si>
    <t>Ratio Management vs. total Employees</t>
  </si>
  <si>
    <t>Mgmt. Employees Costs/Total Costs</t>
  </si>
  <si>
    <t>Organiz. Employees Costs/Total Costs</t>
  </si>
  <si>
    <t>COO</t>
  </si>
  <si>
    <t>Einheit</t>
  </si>
  <si>
    <t>Name</t>
  </si>
  <si>
    <t>INCI/(yr*FTE)</t>
  </si>
  <si>
    <t>%</t>
  </si>
  <si>
    <t>yr</t>
  </si>
  <si>
    <t>yr^2</t>
  </si>
  <si>
    <t>Aktuell</t>
  </si>
  <si>
    <t>$/yr</t>
  </si>
  <si>
    <t>n/a</t>
  </si>
  <si>
    <t>yr/TA</t>
  </si>
  <si>
    <t>TA/FTE</t>
  </si>
  <si>
    <t>Current Assets</t>
  </si>
  <si>
    <t>Short-/Medium-Term</t>
  </si>
  <si>
    <t>Cash Reserves</t>
  </si>
  <si>
    <t>T-Bill Securities</t>
  </si>
  <si>
    <t>T-Bond Securities</t>
  </si>
  <si>
    <t>Reverse Repurchase Agreements</t>
  </si>
  <si>
    <t>Long-Term</t>
  </si>
  <si>
    <t>Bank Loans Assets</t>
  </si>
  <si>
    <t>Car Financing Loans</t>
  </si>
  <si>
    <t>Fixed Assets</t>
  </si>
  <si>
    <t>Other Assets</t>
  </si>
  <si>
    <t>Sum Assets</t>
  </si>
  <si>
    <t>Liabilities</t>
  </si>
  <si>
    <t>Short Term</t>
  </si>
  <si>
    <t>Central bank Advance</t>
  </si>
  <si>
    <t>Repurchase Agreements</t>
  </si>
  <si>
    <t>Medium Term</t>
  </si>
  <si>
    <t>Bank Loans Liabilities</t>
  </si>
  <si>
    <t>Customer Savings</t>
  </si>
  <si>
    <t>Equity</t>
  </si>
  <si>
    <t>Shareholderïs Equity</t>
  </si>
  <si>
    <t>Retained Earnings</t>
  </si>
  <si>
    <t>Revaluation Reserves</t>
  </si>
  <si>
    <t>Sum Equity and Liabilities</t>
  </si>
  <si>
    <t>Balance Sheet</t>
  </si>
  <si>
    <t>Profit &amp; Loss Statement</t>
  </si>
  <si>
    <t>Net interest revenues Headline</t>
  </si>
  <si>
    <t>Interest revenues</t>
  </si>
  <si>
    <t>Interest expenses</t>
  </si>
  <si>
    <t>Net interest revenues</t>
  </si>
  <si>
    <t>Provision for loan losses</t>
  </si>
  <si>
    <t>Net interest revenues after provisions for loan losses</t>
  </si>
  <si>
    <t>Noninterest revenues Headline</t>
  </si>
  <si>
    <t>Net commissions &amp; fees</t>
  </si>
  <si>
    <t>Net trading revenues</t>
  </si>
  <si>
    <t>Other revenues</t>
  </si>
  <si>
    <t>Total non interest revenues</t>
  </si>
  <si>
    <t>Noninterest expenses Headline</t>
  </si>
  <si>
    <t>Management Staff Expenses</t>
  </si>
  <si>
    <t>Functional Staff Expenses</t>
  </si>
  <si>
    <t>IT Staff Expenses</t>
  </si>
  <si>
    <t>Marketing Expenses</t>
  </si>
  <si>
    <t>IT Material Expenses</t>
  </si>
  <si>
    <t>Other Expenses</t>
  </si>
  <si>
    <t>Total noninterest expenses</t>
  </si>
  <si>
    <t>Income before income tax expense</t>
  </si>
  <si>
    <t>Income tax expense</t>
  </si>
  <si>
    <t>Net income</t>
  </si>
  <si>
    <t>Assets</t>
  </si>
  <si>
    <t>Equity and Liabilities</t>
  </si>
  <si>
    <t>$</t>
  </si>
  <si>
    <t>Anleitung:</t>
  </si>
  <si>
    <t>Internal Employees IT</t>
  </si>
  <si>
    <t>+</t>
  </si>
  <si>
    <t>-</t>
  </si>
  <si>
    <t>Forecast</t>
  </si>
  <si>
    <t>Employees IT Development</t>
  </si>
  <si>
    <t>Salary Employee per Year</t>
  </si>
  <si>
    <t>Employees IT Supp. Serv. + OS + DB</t>
  </si>
  <si>
    <t>Employees IT Supp. Comm. Infrastruct.</t>
  </si>
  <si>
    <t>Employees IT Supp. Bus.Apps</t>
  </si>
  <si>
    <t>Employees IT Supp. PCs + Office</t>
  </si>
  <si>
    <t>Central IT</t>
  </si>
  <si>
    <t>Server Hardware</t>
  </si>
  <si>
    <t>Storage Hardware</t>
  </si>
  <si>
    <t>Communication Infrastructure</t>
  </si>
  <si>
    <t>System Software</t>
  </si>
  <si>
    <t>Decentral IT</t>
  </si>
  <si>
    <t>PCs Management</t>
  </si>
  <si>
    <t>PCs Organization</t>
  </si>
  <si>
    <t>PCs Entire IT Dept.</t>
  </si>
  <si>
    <t>PCs Marketing</t>
  </si>
  <si>
    <t>PCs S&amp;M Loans</t>
  </si>
  <si>
    <t>PCs Origination Loans</t>
  </si>
  <si>
    <t>PCs Servicing Loans</t>
  </si>
  <si>
    <t>PCs S&amp;M Savings</t>
  </si>
  <si>
    <t>PCs Origination Savings</t>
  </si>
  <si>
    <t>PCs Servicing Savings</t>
  </si>
  <si>
    <t>Office Autom. Management</t>
  </si>
  <si>
    <t>Office Autom. Organization</t>
  </si>
  <si>
    <t>Office Autom. Entire IT Dept.</t>
  </si>
  <si>
    <t>Office Autom. Marketing</t>
  </si>
  <si>
    <t>Office Autom. S&amp;M Loans</t>
  </si>
  <si>
    <t>Office Autom. Orig. Loans</t>
  </si>
  <si>
    <t>Office Autom. Serv. Loans</t>
  </si>
  <si>
    <t>Office Autom. S&amp;M Savings</t>
  </si>
  <si>
    <t>Office Autom. Orig. Savings</t>
  </si>
  <si>
    <t>Office Autom. Serv. Savings</t>
  </si>
  <si>
    <t>Financial Planning</t>
  </si>
  <si>
    <t>Repos</t>
  </si>
  <si>
    <t>Interest Rate Repos</t>
  </si>
  <si>
    <t>Reverse Repos</t>
  </si>
  <si>
    <t>Interest Rate Reverse Repos</t>
  </si>
  <si>
    <t>Interest Rate Bank Loans Assets</t>
  </si>
  <si>
    <t>Interest Rate Bank Loans Liabilities</t>
  </si>
  <si>
    <t>Treasury Bills (T-Bills)</t>
  </si>
  <si>
    <t>Interest Rate Treasury Bills</t>
  </si>
  <si>
    <t>Treasury Bonds (T-Bonds)</t>
  </si>
  <si>
    <t>Interest Rate Treasury Bonds</t>
  </si>
  <si>
    <t>Marketing Expenditures Global</t>
  </si>
  <si>
    <t>Marketing Efficiency entire Bank</t>
  </si>
  <si>
    <t>Marketing Expenditures Product Loans</t>
  </si>
  <si>
    <t>Marketing Expenditures Product Savings</t>
  </si>
  <si>
    <t>Product Interest Rates</t>
  </si>
  <si>
    <t>Interest Rate Car Financing Loans</t>
  </si>
  <si>
    <t>Average Interest Rate Loans of Competitors</t>
  </si>
  <si>
    <t>Interest Rate Customer Savings</t>
  </si>
  <si>
    <t>Average Interest Rate Customer Savings of Competitors</t>
  </si>
  <si>
    <t>Internal Employees</t>
  </si>
  <si>
    <t>Employees Management</t>
  </si>
  <si>
    <t>Employees Organization</t>
  </si>
  <si>
    <t>Employees IT Functional Staff</t>
  </si>
  <si>
    <t>Employees Marketing</t>
  </si>
  <si>
    <t>Employees S&amp;M Loans</t>
  </si>
  <si>
    <t>Employees Orig. Loans</t>
  </si>
  <si>
    <t>Employees Serv. Loans</t>
  </si>
  <si>
    <t>Employees S&amp;M Savings</t>
  </si>
  <si>
    <t>Employees Orig. Savings</t>
  </si>
  <si>
    <t>Employees Servicing Savings</t>
  </si>
  <si>
    <t>External Employees</t>
  </si>
  <si>
    <t>External Employees Management</t>
  </si>
  <si>
    <t>Costs ext. Employee Mgmt. per year</t>
  </si>
  <si>
    <t>External Employees IT</t>
  </si>
  <si>
    <t>Costs ext. Employee IT per year</t>
  </si>
  <si>
    <t>External Employees Organization</t>
  </si>
  <si>
    <t>Costs ext. Employee Org. per year</t>
  </si>
  <si>
    <t>$/FTE</t>
  </si>
  <si>
    <t>Beschreibung</t>
  </si>
  <si>
    <t>%/yr</t>
  </si>
  <si>
    <t>Wert</t>
  </si>
  <si>
    <t>FTE</t>
  </si>
  <si>
    <t>LI</t>
  </si>
  <si>
    <t>PC</t>
  </si>
  <si>
    <t>MIPS</t>
  </si>
  <si>
    <t>TBmo</t>
  </si>
  <si>
    <t>WP001</t>
  </si>
  <si>
    <t>Optimization of division of work amongst front- and backoffice</t>
  </si>
  <si>
    <t>WP002</t>
  </si>
  <si>
    <t>Design of new slim processes</t>
  </si>
  <si>
    <t>WP003</t>
  </si>
  <si>
    <t>Process automation by the use of Workflow Management Systems</t>
  </si>
  <si>
    <t>WP004</t>
  </si>
  <si>
    <t>Optimisation of interfaces amongst Front- and Backoffice</t>
  </si>
  <si>
    <t>WP005</t>
  </si>
  <si>
    <t>Definition of product standards</t>
  </si>
  <si>
    <t>WP006</t>
  </si>
  <si>
    <t>Cross- und Upselling programme</t>
  </si>
  <si>
    <t>WP007</t>
  </si>
  <si>
    <t>Customer retention programme</t>
  </si>
  <si>
    <t>WP008</t>
  </si>
  <si>
    <t>CRM-Implementation</t>
  </si>
  <si>
    <t>WP009</t>
  </si>
  <si>
    <t>Introduction of enhanced consulting tools</t>
  </si>
  <si>
    <t>WP010</t>
  </si>
  <si>
    <t>Trainee programme for sales staff in order to cope with CRM- and consultingtools</t>
  </si>
  <si>
    <t>WP011</t>
  </si>
  <si>
    <t>Expansion of internet Sales</t>
  </si>
  <si>
    <t>WP012</t>
  </si>
  <si>
    <t>Implementation of a new internet portal</t>
  </si>
  <si>
    <t>WP013</t>
  </si>
  <si>
    <t>Mobile/ flexible Sales</t>
  </si>
  <si>
    <t>WP014</t>
  </si>
  <si>
    <t>Indroduction of Life-Assistance-Banking</t>
  </si>
  <si>
    <t>WP015</t>
  </si>
  <si>
    <t>Indroduction of Community-Banking</t>
  </si>
  <si>
    <t>WP016</t>
  </si>
  <si>
    <t>Indroduction of Convenience-Banking</t>
  </si>
  <si>
    <t>WP017</t>
  </si>
  <si>
    <t>Indroduction of High-Tech-Banking</t>
  </si>
  <si>
    <t>WP018</t>
  </si>
  <si>
    <t>Active adress to the custermers</t>
  </si>
  <si>
    <t>WP019</t>
  </si>
  <si>
    <t>Coaching-programme to convey enhanced sales culture to sales staff</t>
  </si>
  <si>
    <t>WP020</t>
  </si>
  <si>
    <t>Upgrading monetary and nonmonetary incentive models for sales staff</t>
  </si>
  <si>
    <t>Status</t>
  </si>
  <si>
    <t>WP021</t>
  </si>
  <si>
    <t>Industrialization of the business/enterprise</t>
  </si>
  <si>
    <t>WP022</t>
  </si>
  <si>
    <t>Process standardization</t>
  </si>
  <si>
    <t>WP023</t>
  </si>
  <si>
    <t>Introduction of a industrial quality management concept</t>
  </si>
  <si>
    <t>WP024</t>
  </si>
  <si>
    <t>Process outsourcing</t>
  </si>
  <si>
    <t>WP025</t>
  </si>
  <si>
    <t>Link-up of all sales channels onto CRM system</t>
  </si>
  <si>
    <t>WP026</t>
  </si>
  <si>
    <t>Trainee programme to aquaint employees with Workflow-Management System</t>
  </si>
  <si>
    <t>WP027</t>
  </si>
  <si>
    <t>Introduction of activity-based costing</t>
  </si>
  <si>
    <t>WP028</t>
  </si>
  <si>
    <t>Digitalization of bank workstation</t>
  </si>
  <si>
    <t>WP029</t>
  </si>
  <si>
    <t>Customer data integration</t>
  </si>
  <si>
    <t>WP030</t>
  </si>
  <si>
    <t>Implementation of a Controlling-Tool</t>
  </si>
  <si>
    <t>WP031</t>
  </si>
  <si>
    <t>Digitalization of business processes</t>
  </si>
  <si>
    <t>WP032</t>
  </si>
  <si>
    <t>Connection/link-up of mobile devices with vital customer data(CRM and consulting tools)</t>
  </si>
  <si>
    <t>WP033</t>
  </si>
  <si>
    <t>Iimplementation of Service Oriented Architecture (SOA)</t>
  </si>
  <si>
    <t>WP034</t>
  </si>
  <si>
    <t>Knowledge management intiative</t>
  </si>
  <si>
    <t>WP035</t>
  </si>
  <si>
    <t>Optimization of decision support</t>
  </si>
  <si>
    <t>WP036</t>
  </si>
  <si>
    <t>Conceptual design of Information Lifecycle Management</t>
  </si>
  <si>
    <t>WP037</t>
  </si>
  <si>
    <t>Implementation of ILM-Tools</t>
  </si>
  <si>
    <t>WP038</t>
  </si>
  <si>
    <t>Implementation of Information Lifecycle Management</t>
  </si>
  <si>
    <t>WP039</t>
  </si>
  <si>
    <t>Definition of &gt;feedback-capable&lt; processes</t>
  </si>
  <si>
    <t>WP040</t>
  </si>
  <si>
    <t>Value-based Customer Management (VBM)</t>
  </si>
  <si>
    <t>WP041</t>
  </si>
  <si>
    <t>Implementation of integrarted Data Warehouse</t>
  </si>
  <si>
    <t>WP042</t>
  </si>
  <si>
    <t>Introduction of mobile workstation</t>
  </si>
  <si>
    <t>WP043</t>
  </si>
  <si>
    <t>Prompt customer value determination</t>
  </si>
  <si>
    <t>WP044</t>
  </si>
  <si>
    <t>Integration of Business Intelligence</t>
  </si>
  <si>
    <t>WP045</t>
  </si>
  <si>
    <t>Business-Process-Change</t>
  </si>
  <si>
    <t>WP046</t>
  </si>
  <si>
    <t>Multi-Channel-Strategy</t>
  </si>
  <si>
    <t>WP047</t>
  </si>
  <si>
    <t>Consolidation &amp; integration of marketing tools for CRM</t>
  </si>
  <si>
    <t>WP048</t>
  </si>
  <si>
    <t>Arrangement of multi-channel-compatible business processes</t>
  </si>
  <si>
    <t>WP049</t>
  </si>
  <si>
    <t>Business Process Reengineering</t>
  </si>
  <si>
    <t>WP050</t>
  </si>
  <si>
    <t>BPR preparation: process definition</t>
  </si>
  <si>
    <t>WP051</t>
  </si>
  <si>
    <t>BPR preparation: process analysis</t>
  </si>
  <si>
    <t>WP052</t>
  </si>
  <si>
    <t>Concentration upon core capabilities</t>
  </si>
  <si>
    <t>WP053</t>
  </si>
  <si>
    <t>Standardization of IT architecture/environment</t>
  </si>
  <si>
    <t>WP054</t>
  </si>
  <si>
    <t>Software (SW) development of new individual solutions</t>
  </si>
  <si>
    <t>WP055</t>
  </si>
  <si>
    <t>Alignment of IT processes onto ITIL reference processes</t>
  </si>
  <si>
    <t>WP056</t>
  </si>
  <si>
    <t>Integration of innovative IT-conceptions</t>
  </si>
  <si>
    <t>ID</t>
  </si>
  <si>
    <t>WP002 </t>
  </si>
  <si>
    <t>Emp. Man. required</t>
  </si>
  <si>
    <t>Emp. Org. required</t>
  </si>
  <si>
    <t>Emp. IT Dev. required</t>
  </si>
  <si>
    <t>Emp. Mark. required</t>
  </si>
  <si>
    <t>Emp. S&amp;M Loans required</t>
  </si>
  <si>
    <t>Emp. Orig. Loans required</t>
  </si>
  <si>
    <t>Emp. Serv. Loans required</t>
  </si>
  <si>
    <t>Emp. S&amp;M Sav. required</t>
  </si>
  <si>
    <t>Emp. Orig. Sav. required</t>
  </si>
  <si>
    <t>Emp. Serv. Sav. required</t>
  </si>
  <si>
    <t>Emp. Ext. Man. required</t>
  </si>
  <si>
    <t>Emp. Ext. Org. required</t>
  </si>
  <si>
    <t>Emp. Ext. IT required</t>
  </si>
  <si>
    <t>Server required</t>
  </si>
  <si>
    <t>Storage required</t>
  </si>
  <si>
    <t>Comm. required</t>
  </si>
  <si>
    <t>Process</t>
  </si>
  <si>
    <t>Knowledge</t>
  </si>
  <si>
    <t>Risk</t>
  </si>
  <si>
    <t>Information</t>
  </si>
  <si>
    <t>Entire bank</t>
  </si>
  <si>
    <t>Marketing</t>
  </si>
  <si>
    <t>Production</t>
  </si>
  <si>
    <t>IT</t>
  </si>
  <si>
    <t>Resource</t>
  </si>
  <si>
    <t>Entire Bank</t>
  </si>
  <si>
    <t>Precondition</t>
  </si>
  <si>
    <t>Constraint</t>
  </si>
  <si>
    <t>Costs</t>
  </si>
  <si>
    <t>WP005 </t>
  </si>
  <si>
    <t>WP029 </t>
  </si>
  <si>
    <t>erlaubt?</t>
  </si>
  <si>
    <t/>
  </si>
  <si>
    <t>WP024 </t>
  </si>
  <si>
    <t>WP023 </t>
  </si>
  <si>
    <t>WP027 </t>
  </si>
  <si>
    <t>WP052 </t>
  </si>
  <si>
    <t>WP022 </t>
  </si>
  <si>
    <t>WP047 </t>
  </si>
  <si>
    <t>WP003 </t>
  </si>
  <si>
    <t>WP031 </t>
  </si>
  <si>
    <t>WP008 </t>
  </si>
  <si>
    <t>WP009 </t>
  </si>
  <si>
    <t>WP044 </t>
  </si>
  <si>
    <t>WP042 </t>
  </si>
  <si>
    <t>WP053 </t>
  </si>
  <si>
    <t>WP054 </t>
  </si>
  <si>
    <t>WP034 </t>
  </si>
  <si>
    <t>WP030 </t>
  </si>
  <si>
    <t>WP036 </t>
  </si>
  <si>
    <t>WP037 </t>
  </si>
  <si>
    <t>WP043 </t>
  </si>
  <si>
    <t>WP041 </t>
  </si>
  <si>
    <t>WP001 </t>
  </si>
  <si>
    <t>WP025 </t>
  </si>
  <si>
    <t>WP048 </t>
  </si>
  <si>
    <t>WP050 </t>
  </si>
  <si>
    <t>WP051 </t>
  </si>
  <si>
    <t>WP038 </t>
  </si>
  <si>
    <t>WP055 </t>
  </si>
  <si>
    <t>Pre 1</t>
  </si>
  <si>
    <t>Pre 2</t>
  </si>
  <si>
    <t>Pre 1 done?</t>
  </si>
  <si>
    <t>Pre 2 done?</t>
  </si>
  <si>
    <t xml:space="preserve">Gesamt </t>
  </si>
  <si>
    <t>geplant</t>
  </si>
  <si>
    <t>Maximal</t>
  </si>
  <si>
    <t>Geplant</t>
  </si>
  <si>
    <t>Erledigt</t>
  </si>
  <si>
    <t>verfügbar</t>
  </si>
  <si>
    <t>Differenz</t>
  </si>
  <si>
    <t>Kosten</t>
  </si>
  <si>
    <t>Übersicht Projekte</t>
  </si>
  <si>
    <t>Emp. Total</t>
  </si>
  <si>
    <t>Nutzen ges.</t>
  </si>
  <si>
    <t>CIO Planspiel - Gruppe 3 - Boston (WS 2015/16)</t>
  </si>
  <si>
    <t>Anzahl Server</t>
  </si>
  <si>
    <t>Management</t>
  </si>
  <si>
    <t>Organization</t>
  </si>
  <si>
    <t>Entire IT Dept.</t>
  </si>
  <si>
    <t>S&amp;M Loans</t>
  </si>
  <si>
    <t>Orig. Loans</t>
  </si>
  <si>
    <t>Serv. Loans</t>
  </si>
  <si>
    <t>S&amp;M Savings</t>
  </si>
  <si>
    <t>Orig. Savings</t>
  </si>
  <si>
    <t>Office</t>
  </si>
  <si>
    <t>Office/PC</t>
  </si>
  <si>
    <t>Emp.</t>
  </si>
  <si>
    <t>Emp./PC</t>
  </si>
  <si>
    <t>Servicing Savings</t>
  </si>
  <si>
    <t>Anzahl</t>
  </si>
  <si>
    <t>Lizenzen</t>
  </si>
  <si>
    <t>Liz./Server</t>
  </si>
  <si>
    <t>Mitarbeiter IT</t>
  </si>
  <si>
    <t>Mitarbeiter intern</t>
  </si>
  <si>
    <t>Mitarbeiter extern</t>
  </si>
  <si>
    <t>Utilization</t>
  </si>
  <si>
    <t>Skilllevel</t>
  </si>
  <si>
    <t>Satisfaction</t>
  </si>
  <si>
    <t>Hardware, Software und Mitarbeiter</t>
  </si>
  <si>
    <t>Finanzen</t>
  </si>
  <si>
    <t>ben. PCs</t>
  </si>
  <si>
    <t>ben. Liz.</t>
  </si>
  <si>
    <t>Nutzen IT</t>
  </si>
  <si>
    <t>Kosten Mitarbeiter</t>
  </si>
  <si>
    <t>Nutzen Bank ges.</t>
  </si>
  <si>
    <t>Nutzen Marketing</t>
  </si>
  <si>
    <t>Nutzen Produktion</t>
  </si>
  <si>
    <t>IT Kosten</t>
  </si>
  <si>
    <t>Kosten gesamt</t>
  </si>
  <si>
    <t>Nutzen gesamt</t>
  </si>
  <si>
    <t>Kosten/Nutzen</t>
  </si>
  <si>
    <t>Ranking</t>
  </si>
  <si>
    <t>Top 1</t>
  </si>
  <si>
    <t>Top 2</t>
  </si>
  <si>
    <t>Top 3</t>
  </si>
  <si>
    <t>Top 4</t>
  </si>
  <si>
    <t>Top 5</t>
  </si>
  <si>
    <t>Top 6</t>
  </si>
  <si>
    <t>Top 7</t>
  </si>
  <si>
    <t>Top 8</t>
  </si>
  <si>
    <t>Top 9</t>
  </si>
  <si>
    <t>Top 10</t>
  </si>
  <si>
    <t>Top 11</t>
  </si>
  <si>
    <t>Top 12</t>
  </si>
  <si>
    <t>Top 13</t>
  </si>
  <si>
    <t>Top 14</t>
  </si>
  <si>
    <t>Top 15</t>
  </si>
  <si>
    <t>Top 16</t>
  </si>
  <si>
    <t>Top 17</t>
  </si>
  <si>
    <t>Top 18</t>
  </si>
  <si>
    <t>Top 19</t>
  </si>
  <si>
    <t>Top 20</t>
  </si>
  <si>
    <t>Top 21</t>
  </si>
  <si>
    <t>Top 22</t>
  </si>
  <si>
    <t>Top 23</t>
  </si>
  <si>
    <t>Top 24</t>
  </si>
  <si>
    <t>Top 25</t>
  </si>
  <si>
    <t>Top 26</t>
  </si>
  <si>
    <t>Top 27</t>
  </si>
  <si>
    <t>Top 28</t>
  </si>
  <si>
    <t>Top 29</t>
  </si>
  <si>
    <t>Top 30</t>
  </si>
  <si>
    <t>Top 31</t>
  </si>
  <si>
    <t>Top 32</t>
  </si>
  <si>
    <t>Top 33</t>
  </si>
  <si>
    <t>Top 34</t>
  </si>
  <si>
    <t>Top 35</t>
  </si>
  <si>
    <t>Top 36</t>
  </si>
  <si>
    <t>Top 37</t>
  </si>
  <si>
    <t>Top 38</t>
  </si>
  <si>
    <t>Top 39</t>
  </si>
  <si>
    <t>Top 40</t>
  </si>
  <si>
    <t>Top 41</t>
  </si>
  <si>
    <t>Top 42</t>
  </si>
  <si>
    <t>Top 43</t>
  </si>
  <si>
    <t>Top 44</t>
  </si>
  <si>
    <t>Top 45</t>
  </si>
  <si>
    <t>Top 46</t>
  </si>
  <si>
    <t>Top 47</t>
  </si>
  <si>
    <t>Top 48</t>
  </si>
  <si>
    <t>Top 49</t>
  </si>
  <si>
    <t>Top 50</t>
  </si>
  <si>
    <t>Top 51</t>
  </si>
  <si>
    <t>Top 52</t>
  </si>
  <si>
    <t>Top 53</t>
  </si>
  <si>
    <t>Top 54</t>
  </si>
  <si>
    <t>Top 55</t>
  </si>
  <si>
    <t>Top 56</t>
  </si>
  <si>
    <t>Rang</t>
  </si>
  <si>
    <t>Nutzen pro Mil. $</t>
  </si>
  <si>
    <t>Value</t>
  </si>
  <si>
    <t>Actual</t>
  </si>
  <si>
    <t>Target</t>
  </si>
  <si>
    <t>14,44 yr^2</t>
  </si>
  <si>
    <t>Assets (Million $)</t>
  </si>
  <si>
    <t>Equity and Liabilities (Million $)</t>
  </si>
  <si>
    <t>Indicator (Cumulated over the last 6 months)</t>
  </si>
  <si>
    <t>Value (in $)</t>
  </si>
  <si>
    <t>Nutzen Succ 1</t>
  </si>
  <si>
    <t>Nutzen Succ 2</t>
  </si>
  <si>
    <t>Nutzen Succ 3</t>
  </si>
  <si>
    <t>Nutzen Succ 4</t>
  </si>
  <si>
    <t>Nutzen Succ 5</t>
  </si>
  <si>
    <t>Succ 1</t>
  </si>
  <si>
    <t>Succ 2</t>
  </si>
  <si>
    <t>Succ 3</t>
  </si>
  <si>
    <t>Succ 4</t>
  </si>
  <si>
    <t>Succ 5</t>
  </si>
  <si>
    <t>Nutzen SSucc 1</t>
  </si>
  <si>
    <t>Nutzen SSucc 2</t>
  </si>
  <si>
    <t>Nutzen SSucc 3</t>
  </si>
  <si>
    <t>Nutzen SSucc 4</t>
  </si>
  <si>
    <t>Nutzen SSucc 5</t>
  </si>
  <si>
    <t>Nutzen SSSucc 1</t>
  </si>
  <si>
    <t>Nutzen SSSucc 2</t>
  </si>
  <si>
    <t>Nutzen SSSucc 3</t>
  </si>
  <si>
    <t>Nutzen SSSucc 4</t>
  </si>
  <si>
    <t>Nutzen SSSucc 5</t>
  </si>
  <si>
    <t>Succ Nutzen</t>
  </si>
  <si>
    <t>SSucc Nutzen</t>
  </si>
  <si>
    <t>SSSucc Nutzen</t>
  </si>
  <si>
    <t>Nutzen SSSSucc 1</t>
  </si>
  <si>
    <t>Nutzen SSSSucc 2</t>
  </si>
  <si>
    <t>Nutzen SSSSucc 3</t>
  </si>
  <si>
    <t>Nutzen SSSSucc 4</t>
  </si>
  <si>
    <t>Nutzen SSSSucc 5</t>
  </si>
  <si>
    <t>SSSSucc Nutzen</t>
  </si>
  <si>
    <t>Eigennutzen</t>
  </si>
  <si>
    <t>Nachfolge 1</t>
  </si>
  <si>
    <t>Nachfolge 2</t>
  </si>
  <si>
    <t>Nachfolge 3</t>
  </si>
  <si>
    <t>Nachfolge 4</t>
  </si>
  <si>
    <t>Top</t>
  </si>
  <si>
    <t>Nummer</t>
  </si>
  <si>
    <t>Position</t>
  </si>
  <si>
    <t>Nutzen mit Nachfolger</t>
  </si>
  <si>
    <t>Rang mit Nachfolger</t>
  </si>
  <si>
    <r>
      <rPr>
        <b/>
        <sz val="11"/>
        <color theme="1"/>
        <rFont val="Calibri"/>
        <family val="2"/>
        <scheme val="minor"/>
      </rPr>
      <t>Daten importieren:</t>
    </r>
    <r>
      <rPr>
        <sz val="11"/>
        <color theme="1"/>
        <rFont val="Calibri"/>
        <family val="2"/>
        <scheme val="minor"/>
      </rPr>
      <t xml:space="preserve"> Daten werden automatisch abgezogen (ggf. Anmeldung notwendig). -&gt; Macht Christoph, einfach erinnern, wenn nicht up2date
</t>
    </r>
    <r>
      <rPr>
        <b/>
        <sz val="11"/>
        <color theme="1"/>
        <rFont val="Calibri"/>
        <family val="2"/>
        <scheme val="minor"/>
      </rPr>
      <t>Daten übernehmen:</t>
    </r>
    <r>
      <rPr>
        <sz val="11"/>
        <color theme="1"/>
        <rFont val="Calibri"/>
        <family val="2"/>
        <scheme val="minor"/>
      </rPr>
      <t xml:space="preserve"> Daten werden in neuer Spalte festgehalten um Trend feststellen zu können
</t>
    </r>
    <r>
      <rPr>
        <b/>
        <sz val="11"/>
        <color theme="1"/>
        <rFont val="Calibri"/>
        <family val="2"/>
        <scheme val="minor"/>
      </rPr>
      <t xml:space="preserve">Import ein-/ausblenden: </t>
    </r>
    <r>
      <rPr>
        <sz val="11"/>
        <color theme="1"/>
        <rFont val="Calibri"/>
        <family val="2"/>
        <scheme val="minor"/>
      </rPr>
      <t>Tabellenblätter für Import ein- oder ausblenden</t>
    </r>
  </si>
  <si>
    <t>Car Financing</t>
  </si>
  <si>
    <t>Sales &amp; Marketing</t>
  </si>
  <si>
    <t>Requests to be processed LowPriceCars</t>
  </si>
  <si>
    <t>Requests to be processed MidPriceCars</t>
  </si>
  <si>
    <t>Requests to be processed HighPriceCars</t>
  </si>
  <si>
    <t>Requests succeeded LowPriceCars</t>
  </si>
  <si>
    <t>Requests succeeded MidPriceCars</t>
  </si>
  <si>
    <t>Requests succeeded HighPriceCars</t>
  </si>
  <si>
    <t>Error Rate</t>
  </si>
  <si>
    <t>Sales &amp; Marketing Quality</t>
  </si>
  <si>
    <t>Employees in Process Step</t>
  </si>
  <si>
    <t>Employee Utilization</t>
  </si>
  <si>
    <t>Employee Satisfaction</t>
  </si>
  <si>
    <t>Employees leaving</t>
  </si>
  <si>
    <t>PCs in Department</t>
  </si>
  <si>
    <t>Office Automation in Dept.</t>
  </si>
  <si>
    <t>Business Apps. used by Dept.</t>
  </si>
  <si>
    <t>Origination</t>
  </si>
  <si>
    <t>Contracts to be processed LowPriceCars</t>
  </si>
  <si>
    <t>Contracts to be processed MidPriceCars</t>
  </si>
  <si>
    <t>Contracts to be processed HighPriceCars</t>
  </si>
  <si>
    <t>Contracts succeeded LowPriceCars</t>
  </si>
  <si>
    <t>Contracts succeeded MidPriceCars</t>
  </si>
  <si>
    <t>Contracts succeeded HighPriceCars</t>
  </si>
  <si>
    <t>Origination Quality</t>
  </si>
  <si>
    <t>Bus. Apps. used by Dept.</t>
  </si>
  <si>
    <t>Servicing</t>
  </si>
  <si>
    <t>Service Transactions to be processed</t>
  </si>
  <si>
    <t>Service Transactions succeeded</t>
  </si>
  <si>
    <t>Servicing Quality</t>
  </si>
  <si>
    <t>Empl. in Process Step</t>
  </si>
  <si>
    <t>Savings Account</t>
  </si>
  <si>
    <t>Requests to be processed</t>
  </si>
  <si>
    <t>Requests succeeded</t>
  </si>
  <si>
    <t>Contracts to be processed</t>
  </si>
  <si>
    <t>Contracts succeeded</t>
  </si>
  <si>
    <t>TA/yr</t>
  </si>
  <si>
    <t>FTE/yr</t>
  </si>
  <si>
    <t>MLOC</t>
  </si>
  <si>
    <t>Periode erledigt</t>
  </si>
  <si>
    <t>Wert Anpassung</t>
  </si>
  <si>
    <t>Art</t>
  </si>
  <si>
    <t>Einstellung</t>
  </si>
  <si>
    <t>Abfindungen</t>
  </si>
  <si>
    <t>Entlassungen</t>
  </si>
  <si>
    <t>Gehalt</t>
  </si>
  <si>
    <t>Abfindung</t>
  </si>
  <si>
    <t>erledigt</t>
  </si>
  <si>
    <t>Bezüg p.a.</t>
  </si>
  <si>
    <t>Actual Round</t>
  </si>
  <si>
    <t>Last Round</t>
  </si>
  <si>
    <t>Eigenkapitalquote</t>
  </si>
  <si>
    <t>Kosten (pro Periode)</t>
  </si>
  <si>
    <t>Quote</t>
  </si>
  <si>
    <t>Verlauf der Eigenkapitalquote</t>
  </si>
  <si>
    <t>Eigenkapital</t>
  </si>
  <si>
    <t>Provisionsüberschuss</t>
  </si>
  <si>
    <t>Handelsergebnis</t>
  </si>
  <si>
    <t>Kosten pro Periode</t>
  </si>
  <si>
    <t>einmalige Kosten</t>
  </si>
  <si>
    <t>Personalkosten</t>
  </si>
  <si>
    <t>Einstellen/Entlassen</t>
  </si>
  <si>
    <t>Verlauf der Anzahl Mitarbeiter</t>
  </si>
  <si>
    <t>Employees IT</t>
  </si>
  <si>
    <t>Employees Internal</t>
  </si>
  <si>
    <t>Employees External</t>
  </si>
  <si>
    <t>Verlauf des Nettoeinkommen</t>
  </si>
  <si>
    <t>Verlauf der Kunden und Mitarbeiterzufriedenheit</t>
  </si>
  <si>
    <t>Employees Satisfaction</t>
  </si>
  <si>
    <t>Succeeded</t>
  </si>
  <si>
    <t xml:space="preserve">To be processed </t>
  </si>
  <si>
    <t>Successrate</t>
  </si>
  <si>
    <t>Employees for 100%</t>
  </si>
  <si>
    <t>Successrate Forecast</t>
  </si>
  <si>
    <t>_go4c_bsc_rm_portlet_WAR_go4cbscrmportlet_INSTANCE_s6L2_emp_it_hired(1)</t>
  </si>
  <si>
    <t>_go4c_bsc_rm_portlet_WAR_go4cbscrmportlet_INSTANCE_s6L2_emp_it_fired(1)</t>
  </si>
  <si>
    <t>_go4c_bsc_rm_portlet_WAR_go4cbscrmportlet_INSTANCE_s6L2_emp_it_hired(2)</t>
  </si>
  <si>
    <t>_go4c_bsc_rm_portlet_WAR_go4cbscrmportlet_INSTANCE_s6L2_emp_it_fired(2)</t>
  </si>
  <si>
    <t>_go4c_bsc_rm_portlet_WAR_go4cbscrmportlet_INSTANCE_s6L2_emp_it_hired(3)</t>
  </si>
  <si>
    <t>_go4c_bsc_rm_portlet_WAR_go4cbscrmportlet_INSTANCE_s6L2_emp_it_fired(3)</t>
  </si>
  <si>
    <t>_go4c_bsc_rm_portlet_WAR_go4cbscrmportlet_INSTANCE_s6L2_emp_it_hired(4)</t>
  </si>
  <si>
    <t>_go4c_bsc_rm_portlet_WAR_go4cbscrmportlet_INSTANCE_s6L2_emp_it_fired(4)</t>
  </si>
  <si>
    <t>_go4c_bsc_rm_portlet_WAR_go4cbscrmportlet_INSTANCE_s6L2_emp_it_hired(5)</t>
  </si>
  <si>
    <t>_go4c_bsc_rm_portlet_WAR_go4cbscrmportlet_INSTANCE_s6L2_emp_it_fired(5)</t>
  </si>
  <si>
    <t>_go4c_bsc_rm_portlet_WAR_go4cbscrmportlet_INSTANCE_s6L2_it_hw_server_new</t>
  </si>
  <si>
    <t>_go4c_bsc_rm_portlet_WAR_go4cbscrmportlet_INSTANCE_s6L2_it_hw_server_scrap</t>
  </si>
  <si>
    <t>_go4c_bsc_rm_portlet_WAR_go4cbscrmportlet_INSTANCE_s6L2_it_hw_storage_new</t>
  </si>
  <si>
    <t>_go4c_bsc_rm_portlet_WAR_go4cbscrmportlet_INSTANCE_s6L2_it_hw_storage_scrap</t>
  </si>
  <si>
    <t>_go4c_bsc_rm_portlet_WAR_go4cbscrmportlet_INSTANCE_s6L2_it_hw_com_new</t>
  </si>
  <si>
    <t>_go4c_bsc_rm_portlet_WAR_go4cbscrmportlet_INSTANCE_s6L2_it_hw_com_scrap</t>
  </si>
  <si>
    <t>_go4c_bsc_rm_portlet_WAR_go4cbscrmportlet_INSTANCE_s6L2_it_sw_systemsw_new</t>
  </si>
  <si>
    <t>_go4c_bsc_rm_portlet_WAR_go4cbscrmportlet_INSTANCE_s6L2_it_sw_systemsw_scrap</t>
  </si>
  <si>
    <t>_go4c_bsc_rm_portlet_WAR_go4cbscrmportlet_INSTANCE_s6L2_it_hw_desktop_new(1)</t>
  </si>
  <si>
    <t>_go4c_bsc_rm_portlet_WAR_go4cbscrmportlet_INSTANCE_s6L2_it_hw_desktop_scrap(1)</t>
  </si>
  <si>
    <t>_go4c_bsc_rm_portlet_WAR_go4cbscrmportlet_INSTANCE_s6L2_it_hw_desktop_new(2)</t>
  </si>
  <si>
    <t>_go4c_bsc_rm_portlet_WAR_go4cbscrmportlet_INSTANCE_s6L2_it_hw_desktop_scrap(2)</t>
  </si>
  <si>
    <t>_go4c_bsc_rm_portlet_WAR_go4cbscrmportlet_INSTANCE_s6L2_it_hw_desktop_new(3)</t>
  </si>
  <si>
    <t>_go4c_bsc_rm_portlet_WAR_go4cbscrmportlet_INSTANCE_s6L2_it_hw_desktop_scrap(3)</t>
  </si>
  <si>
    <t>_go4c_bsc_rm_portlet_WAR_go4cbscrmportlet_INSTANCE_s6L2_it_hw_desktop_new(4)</t>
  </si>
  <si>
    <t>_go4c_bsc_rm_portlet_WAR_go4cbscrmportlet_INSTANCE_s6L2_it_hw_desktop_scrap(4)</t>
  </si>
  <si>
    <t>_go4c_bsc_rm_portlet_WAR_go4cbscrmportlet_INSTANCE_s6L2_it_hw_desktop_new(5)</t>
  </si>
  <si>
    <t>_go4c_bsc_rm_portlet_WAR_go4cbscrmportlet_INSTANCE_s6L2_it_hw_desktop_scrap(5)</t>
  </si>
  <si>
    <t>_go4c_bsc_rm_portlet_WAR_go4cbscrmportlet_INSTANCE_s6L2_it_hw_desktop_new(6)</t>
  </si>
  <si>
    <t>_go4c_bsc_rm_portlet_WAR_go4cbscrmportlet_INSTANCE_s6L2_it_hw_desktop_scrap(6)</t>
  </si>
  <si>
    <t>_go4c_bsc_rm_portlet_WAR_go4cbscrmportlet_INSTANCE_s6L2_it_hw_desktop_new(7)</t>
  </si>
  <si>
    <t>_go4c_bsc_rm_portlet_WAR_go4cbscrmportlet_INSTANCE_s6L2_it_hw_desktop_scrap(7)</t>
  </si>
  <si>
    <t>_go4c_bsc_rm_portlet_WAR_go4cbscrmportlet_INSTANCE_s6L2_it_hw_desktop_new(8)</t>
  </si>
  <si>
    <t>_go4c_bsc_rm_portlet_WAR_go4cbscrmportlet_INSTANCE_s6L2_it_hw_desktop_scrap(8)</t>
  </si>
  <si>
    <t>_go4c_bsc_rm_portlet_WAR_go4cbscrmportlet_INSTANCE_s6L2_it_hw_desktop_new(9)</t>
  </si>
  <si>
    <t>_go4c_bsc_rm_portlet_WAR_go4cbscrmportlet_INSTANCE_s6L2_it_hw_desktop_scrap(9)</t>
  </si>
  <si>
    <t>_go4c_bsc_rm_portlet_WAR_go4cbscrmportlet_INSTANCE_s6L2_it_hw_desktop_new(10)</t>
  </si>
  <si>
    <t>_go4c_bsc_rm_portlet_WAR_go4cbscrmportlet_INSTANCE_s6L2_it_hw_desktop_scrap(10)</t>
  </si>
  <si>
    <t>_go4c_bsc_rm_portlet_WAR_go4cbscrmportlet_INSTANCE_s6L2_it_sw_office_new(1)</t>
  </si>
  <si>
    <t>_go4c_bsc_rm_portlet_WAR_go4cbscrmportlet_INSTANCE_s6L2_it_sw_office_scrap(1)</t>
  </si>
  <si>
    <t>_go4c_bsc_rm_portlet_WAR_go4cbscrmportlet_INSTANCE_s6L2_it_sw_office_new(2)</t>
  </si>
  <si>
    <t>_go4c_bsc_rm_portlet_WAR_go4cbscrmportlet_INSTANCE_s6L2_it_sw_office_scrap(2)</t>
  </si>
  <si>
    <t>_go4c_bsc_rm_portlet_WAR_go4cbscrmportlet_INSTANCE_s6L2_it_sw_office_new(3)</t>
  </si>
  <si>
    <t>_go4c_bsc_rm_portlet_WAR_go4cbscrmportlet_INSTANCE_s6L2_it_sw_office_scrap(3)</t>
  </si>
  <si>
    <t>_go4c_bsc_rm_portlet_WAR_go4cbscrmportlet_INSTANCE_s6L2_it_sw_office_new(4)</t>
  </si>
  <si>
    <t>_go4c_bsc_rm_portlet_WAR_go4cbscrmportlet_INSTANCE_s6L2_it_sw_office_scrap(4)</t>
  </si>
  <si>
    <t>_go4c_bsc_rm_portlet_WAR_go4cbscrmportlet_INSTANCE_s6L2_it_sw_office_new(5)</t>
  </si>
  <si>
    <t>_go4c_bsc_rm_portlet_WAR_go4cbscrmportlet_INSTANCE_s6L2_it_sw_office_scrap(5)</t>
  </si>
  <si>
    <t>_go4c_bsc_rm_portlet_WAR_go4cbscrmportlet_INSTANCE_s6L2_it_sw_office_new(6)</t>
  </si>
  <si>
    <t>_go4c_bsc_rm_portlet_WAR_go4cbscrmportlet_INSTANCE_s6L2_it_sw_office_scrap(6)</t>
  </si>
  <si>
    <t>_go4c_bsc_rm_portlet_WAR_go4cbscrmportlet_INSTANCE_s6L2_it_sw_office_new(7)</t>
  </si>
  <si>
    <t>_go4c_bsc_rm_portlet_WAR_go4cbscrmportlet_INSTANCE_s6L2_it_sw_office_scrap(7)</t>
  </si>
  <si>
    <t>_go4c_bsc_rm_portlet_WAR_go4cbscrmportlet_INSTANCE_s6L2_it_sw_office_new(8)</t>
  </si>
  <si>
    <t>_go4c_bsc_rm_portlet_WAR_go4cbscrmportlet_INSTANCE_s6L2_it_sw_office_scrap(8)</t>
  </si>
  <si>
    <t>_go4c_bsc_rm_portlet_WAR_go4cbscrmportlet_INSTANCE_s6L2_it_sw_office_new(9)</t>
  </si>
  <si>
    <t>_go4c_bsc_rm_portlet_WAR_go4cbscrmportlet_INSTANCE_s6L2_it_sw_office_scrap(9)</t>
  </si>
  <si>
    <t>_go4c_bsc_rm_portlet_WAR_go4cbscrmportlet_INSTANCE_s6L2_it_sw_office_new(10)</t>
  </si>
  <si>
    <t>_go4c_bsc_rm_portlet_WAR_go4cbscrmportlet_INSTANCE_s6L2_it_sw_office_scrap(10)</t>
  </si>
  <si>
    <t>_go4c_bsc_rm_portlet_WAR_go4cbscrmportlet_INSTANCE_s6L2_repos_in</t>
  </si>
  <si>
    <t>_go4c_bsc_rm_portlet_WAR_go4cbscrmportlet_INSTANCE_s6L2_repos_out</t>
  </si>
  <si>
    <t>_go4c_bsc_rm_portlet_WAR_go4cbscrmportlet_INSTANCE_s6L2_reverse_repos_in</t>
  </si>
  <si>
    <t>_go4c_bsc_rm_portlet_WAR_go4cbscrmportlet_INSTANCE_s6L2_reverse_repos_out</t>
  </si>
  <si>
    <t>_go4c_bsc_rm_portlet_WAR_go4cbscrmportlet_INSTANCE_s6L2_bank_loans_assets_in</t>
  </si>
  <si>
    <t>_go4c_bsc_rm_portlet_WAR_go4cbscrmportlet_INSTANCE_s6L2_bank_loans_assets_out</t>
  </si>
  <si>
    <t>_go4c_bsc_rm_portlet_WAR_go4cbscrmportlet_INSTANCE_s6L2_bank_loans_liabilities_in</t>
  </si>
  <si>
    <t>_go4c_bsc_rm_portlet_WAR_go4cbscrmportlet_INSTANCE_s6L2_bank_loans_liabilities_out</t>
  </si>
  <si>
    <t>_go4c_bsc_rm_portlet_WAR_go4cbscrmportlet_INSTANCE_s6L2_t_bills_in</t>
  </si>
  <si>
    <t>_go4c_bsc_rm_portlet_WAR_go4cbscrmportlet_INSTANCE_s6L2_t_bills_out</t>
  </si>
  <si>
    <t>_go4c_bsc_rm_portlet_WAR_go4cbscrmportlet_INSTANCE_s6L2_t_bonds_in</t>
  </si>
  <si>
    <t>_go4c_bsc_rm_portlet_WAR_go4cbscrmportlet_INSTANCE_s6L2_t_bonds_out</t>
  </si>
  <si>
    <t>_go4c_bsc_rm_portlet_WAR_go4cbscrmportlet_INSTANCE_s6L2_marketing_exp_global_in</t>
  </si>
  <si>
    <t>_go4c_bsc_rm_portlet_WAR_go4cbscrmportlet_INSTANCE_s6L2_marketing_exp_global_out</t>
  </si>
  <si>
    <t>_go4c_bsc_rm_portlet_WAR_go4cbscrmportlet_INSTANCE_s6L2_marketing_exp_loans_out</t>
  </si>
  <si>
    <t>_go4c_bsc_rm_portlet_WAR_go4cbscrmportlet_INSTANCE_s6L2_marketing_exp_sav_out</t>
  </si>
  <si>
    <t>_go4c_bsc_rm_portlet_WAR_go4cbscrmportlet_INSTANCE_s6L2_i_car_financing_loans_in</t>
  </si>
  <si>
    <t>_go4c_bsc_rm_portlet_WAR_go4cbscrmportlet_INSTANCE_s6L2_i_car_financing_loans_out</t>
  </si>
  <si>
    <t>_go4c_bsc_rm_portlet_WAR_go4cbscrmportlet_INSTANCE_s6L2_i_customer_savings_in</t>
  </si>
  <si>
    <t>_go4c_bsc_rm_portlet_WAR_go4cbscrmportlet_INSTANCE_s6L2_i_customer_savings_out</t>
  </si>
  <si>
    <t>_go4c_bsc_rm_portlet_WAR_go4cbscrmportlet_INSTANCE_s6L2_emp_hired(1)</t>
  </si>
  <si>
    <t>_go4c_bsc_rm_portlet_WAR_go4cbscrmportlet_INSTANCE_s6L2_emp_fired(1)</t>
  </si>
  <si>
    <t>_go4c_bsc_rm_portlet_WAR_go4cbscrmportlet_INSTANCE_s6L2_emp_hired(2)</t>
  </si>
  <si>
    <t>_go4c_bsc_rm_portlet_WAR_go4cbscrmportlet_INSTANCE_s6L2_emp_fired(2)</t>
  </si>
  <si>
    <t>_go4c_bsc_rm_portlet_WAR_go4cbscrmportlet_INSTANCE_s6L2_emp_hired(3)</t>
  </si>
  <si>
    <t>_go4c_bsc_rm_portlet_WAR_go4cbscrmportlet_INSTANCE_s6L2_emp_fired(3)</t>
  </si>
  <si>
    <t>_go4c_bsc_rm_portlet_WAR_go4cbscrmportlet_INSTANCE_s6L2_emp_hired(4)</t>
  </si>
  <si>
    <t>_go4c_bsc_rm_portlet_WAR_go4cbscrmportlet_INSTANCE_s6L2_emp_fired(4)</t>
  </si>
  <si>
    <t>_go4c_bsc_rm_portlet_WAR_go4cbscrmportlet_INSTANCE_s6L2_emp_hired(5)</t>
  </si>
  <si>
    <t>_go4c_bsc_rm_portlet_WAR_go4cbscrmportlet_INSTANCE_s6L2_emp_fired(5)</t>
  </si>
  <si>
    <t>_go4c_bsc_rm_portlet_WAR_go4cbscrmportlet_INSTANCE_s6L2_emp_hired(6)</t>
  </si>
  <si>
    <t>_go4c_bsc_rm_portlet_WAR_go4cbscrmportlet_INSTANCE_s6L2_emp_fired(6)</t>
  </si>
  <si>
    <t>_go4c_bsc_rm_portlet_WAR_go4cbscrmportlet_INSTANCE_s6L2_emp_hired(7)</t>
  </si>
  <si>
    <t>_go4c_bsc_rm_portlet_WAR_go4cbscrmportlet_INSTANCE_s6L2_emp_fired(7)</t>
  </si>
  <si>
    <t>_go4c_bsc_rm_portlet_WAR_go4cbscrmportlet_INSTANCE_s6L2_emp_hired(8)</t>
  </si>
  <si>
    <t>_go4c_bsc_rm_portlet_WAR_go4cbscrmportlet_INSTANCE_s6L2_emp_fired(8)</t>
  </si>
  <si>
    <t>_go4c_bsc_rm_portlet_WAR_go4cbscrmportlet_INSTANCE_s6L2_emp_hired(9)</t>
  </si>
  <si>
    <t>_go4c_bsc_rm_portlet_WAR_go4cbscrmportlet_INSTANCE_s6L2_emp_fired(9)</t>
  </si>
  <si>
    <t>_go4c_bsc_rm_portlet_WAR_go4cbscrmportlet_INSTANCE_s6L2_emp_hired(10)</t>
  </si>
  <si>
    <t>_go4c_bsc_rm_portlet_WAR_go4cbscrmportlet_INSTANCE_s6L2_emp_fired(10)</t>
  </si>
  <si>
    <t>_go4c_bsc_rm_portlet_WAR_go4cbscrmportlet_INSTANCE_s6L2_emp_ext_man_hired</t>
  </si>
  <si>
    <t>_go4c_bsc_rm_portlet_WAR_go4cbscrmportlet_INSTANCE_s6L2_emp_ext_man_fired</t>
  </si>
  <si>
    <t>_go4c_bsc_rm_portlet_WAR_go4cbscrmportlet_INSTANCE_s6L2_emp_ext_it_hired</t>
  </si>
  <si>
    <t>_go4c_bsc_rm_portlet_WAR_go4cbscrmportlet_INSTANCE_s6L2_emp_ext_it_fired</t>
  </si>
  <si>
    <t>_go4c_bsc_rm_portlet_WAR_go4cbscrmportlet_INSTANCE_s6L2_emp_ext_org_hired</t>
  </si>
  <si>
    <t>_go4c_bsc_rm_portlet_WAR_go4cbscrmportlet_INSTANCE_s6L2_emp_ext_org_fired</t>
  </si>
  <si>
    <t>_go4c_bsc_rm_portlet_WAR_go4cbscrmportlet_INSTANCE_s6L2_marketing_exp_loans_in</t>
  </si>
  <si>
    <t>_go4c_bsc_rm_portlet_WAR_go4cbscrmportlet_INSTANCE_s6L2_marketing_exp_sav_in</t>
  </si>
  <si>
    <t>Ausgangspunkt</t>
  </si>
  <si>
    <t>1. Periode</t>
  </si>
  <si>
    <t>2. Periode</t>
  </si>
  <si>
    <t>3. Periode</t>
  </si>
  <si>
    <t>4. Periode</t>
  </si>
  <si>
    <t>5. Periode</t>
  </si>
  <si>
    <t>6. Periode</t>
  </si>
  <si>
    <t>7. Periode</t>
  </si>
  <si>
    <t>8. Periode</t>
  </si>
  <si>
    <t>18,27 yr^2</t>
  </si>
  <si>
    <t>0,00008 yr/TA</t>
  </si>
  <si>
    <t>0,00007 yr/TA</t>
  </si>
  <si>
    <t>ShareholderÃ¯s Equity</t>
  </si>
  <si>
    <t>Shareholder*s Equity</t>
  </si>
  <si>
    <t>Änderungen</t>
  </si>
  <si>
    <t>Current</t>
  </si>
  <si>
    <t>172.458,9 TA/yr</t>
  </si>
  <si>
    <t>215.573,6 TA/yr</t>
  </si>
  <si>
    <t>43.114,7 TA/yr</t>
  </si>
  <si>
    <t>164.068,4 TA/yr</t>
  </si>
  <si>
    <t>205.085,5 TA/yr</t>
  </si>
  <si>
    <t>41.017,1 TA/yr</t>
  </si>
  <si>
    <t>241,1 FTE</t>
  </si>
  <si>
    <t>55,5 FTE/yr</t>
  </si>
  <si>
    <t>322,1 PC</t>
  </si>
  <si>
    <t>1.706,0 LI</t>
  </si>
  <si>
    <t>97,8 MLOC</t>
  </si>
  <si>
    <t>156.998,1 TA/yr</t>
  </si>
  <si>
    <t>196.247,6 TA/yr</t>
  </si>
  <si>
    <t>39.249,5 TA/yr</t>
  </si>
  <si>
    <t>208,1 FTE</t>
  </si>
  <si>
    <t>11,4 FTE/yr</t>
  </si>
  <si>
    <t>259,4 PC</t>
  </si>
  <si>
    <t>1.385,0 LI</t>
  </si>
  <si>
    <t>111,0 MLOC</t>
  </si>
  <si>
    <t>1.732.011,2 TA/yr</t>
  </si>
  <si>
    <t>1.367.713,8 TA/yr</t>
  </si>
  <si>
    <t>468,3 FTE</t>
  </si>
  <si>
    <t>7,0 FTE/yr</t>
  </si>
  <si>
    <t>467,9 PC</t>
  </si>
  <si>
    <t>2.379,2 LI</t>
  </si>
  <si>
    <t>105,2 MLOC</t>
  </si>
  <si>
    <t>6.622.797,0 TA/yr</t>
  </si>
  <si>
    <t>4.176.677,7 TA/yr</t>
  </si>
  <si>
    <t>1.463,2 FTE</t>
  </si>
  <si>
    <t>22,6 FTE/yr</t>
  </si>
  <si>
    <t>1.463,2 PC</t>
  </si>
  <si>
    <t>7.374,1 LI</t>
  </si>
  <si>
    <t>100,6 MLOC</t>
  </si>
  <si>
    <t>3.564.704,2 TA/yr</t>
  </si>
  <si>
    <t>1.243,8 FTE</t>
  </si>
  <si>
    <t>18,5 FTE/yr</t>
  </si>
  <si>
    <t>1.243,6 PC</t>
  </si>
  <si>
    <t>6.267,8 LI</t>
  </si>
  <si>
    <t>99,7 MLOC</t>
  </si>
  <si>
    <t>1.301.583,4 TA/yr</t>
  </si>
  <si>
    <t>809.568,4 TA/yr</t>
  </si>
  <si>
    <t>271,7 FTE</t>
  </si>
  <si>
    <t>4,8 FTE/yr</t>
  </si>
  <si>
    <t>271,3 PC</t>
  </si>
  <si>
    <t>101,0 MLOC</t>
  </si>
  <si>
    <t>Notes</t>
  </si>
  <si>
    <t>0,00 FTE</t>
  </si>
  <si>
    <t>77.500,00 $/FTE</t>
  </si>
  <si>
    <t>0 FTE</t>
  </si>
  <si>
    <t>9,78 FTE</t>
  </si>
  <si>
    <t>0,58 FTE</t>
  </si>
  <si>
    <t>20,41 FTE</t>
  </si>
  <si>
    <t>39,61 FTE</t>
  </si>
  <si>
    <t>116.350,35 MIPS</t>
  </si>
  <si>
    <t>Price Server per MIPS</t>
  </si>
  <si>
    <t>5,00 $</t>
  </si>
  <si>
    <t>383,09 TB</t>
  </si>
  <si>
    <t>Price Storage per TB</t>
  </si>
  <si>
    <t>600,00 $</t>
  </si>
  <si>
    <t>5.037,25 TBmo</t>
  </si>
  <si>
    <t>Price Comm. Infrastructure per TB/yr</t>
  </si>
  <si>
    <t>400,00 $</t>
  </si>
  <si>
    <t>155,00 LI</t>
  </si>
  <si>
    <t>Price System Software per License</t>
  </si>
  <si>
    <t>155 LI</t>
  </si>
  <si>
    <t>469,22 PC</t>
  </si>
  <si>
    <t>Price per Desktop PC</t>
  </si>
  <si>
    <t>2.500,00 $</t>
  </si>
  <si>
    <t>418,55 PC</t>
  </si>
  <si>
    <t>190,31 PC</t>
  </si>
  <si>
    <t>90,85 PC</t>
  </si>
  <si>
    <t>322,08 PC</t>
  </si>
  <si>
    <t>259,39 PC</t>
  </si>
  <si>
    <t>467,91 PC</t>
  </si>
  <si>
    <t>1.463,18 PC</t>
  </si>
  <si>
    <t>1.243,58 PC</t>
  </si>
  <si>
    <t>271,26 PC</t>
  </si>
  <si>
    <t>2.378,25 LI</t>
  </si>
  <si>
    <t>Price per Office Automation License</t>
  </si>
  <si>
    <t>300,00 $</t>
  </si>
  <si>
    <t>2.123,00 LI</t>
  </si>
  <si>
    <t>2.123 LI</t>
  </si>
  <si>
    <t>1.019,75 LI</t>
  </si>
  <si>
    <t>473,40 LI</t>
  </si>
  <si>
    <t>473,4 LI</t>
  </si>
  <si>
    <t>1.706,00 LI</t>
  </si>
  <si>
    <t>1.706 LI</t>
  </si>
  <si>
    <t>1.384,95 LI</t>
  </si>
  <si>
    <t>2.379,20 LI</t>
  </si>
  <si>
    <t>7.374,15 LI</t>
  </si>
  <si>
    <t>6.267,80 LI</t>
  </si>
  <si>
    <t>2.500.000.000,00 $</t>
  </si>
  <si>
    <t>5,00 %/yr</t>
  </si>
  <si>
    <t>2.500.000.000 $</t>
  </si>
  <si>
    <t>0,00 $</t>
  </si>
  <si>
    <t>0 $</t>
  </si>
  <si>
    <t>6,00 %/yr</t>
  </si>
  <si>
    <t>11,00 %/yr</t>
  </si>
  <si>
    <t>4,00 %/yr</t>
  </si>
  <si>
    <t>13.000.000,00 $/yr</t>
  </si>
  <si>
    <t>13.000.000 $/yr</t>
  </si>
  <si>
    <t>10.000.000,00 $/yr</t>
  </si>
  <si>
    <t>10.000.000 $/yr</t>
  </si>
  <si>
    <t>4.500.000,00 $/yr</t>
  </si>
  <si>
    <t>4.500.000 $/yr</t>
  </si>
  <si>
    <t>13,00 %/yr</t>
  </si>
  <si>
    <t>12,00 %/yr</t>
  </si>
  <si>
    <t>13 %/yr</t>
  </si>
  <si>
    <t>2,00 %/yr</t>
  </si>
  <si>
    <t>3,00 %/yr</t>
  </si>
  <si>
    <t>2 %/yr</t>
  </si>
  <si>
    <t>469,62 FTE</t>
  </si>
  <si>
    <t>120.000,00 $/FTE</t>
  </si>
  <si>
    <t>414,60 FTE</t>
  </si>
  <si>
    <t>414,6 FTE</t>
  </si>
  <si>
    <t>18,87 FTE</t>
  </si>
  <si>
    <t>43,32 FTE</t>
  </si>
  <si>
    <t>241,13 FTE</t>
  </si>
  <si>
    <t>50.000,00 $/FTE</t>
  </si>
  <si>
    <t>208,12 FTE</t>
  </si>
  <si>
    <t>468,29 FTE</t>
  </si>
  <si>
    <t>1.463,15 FTE</t>
  </si>
  <si>
    <t>1.243,83 FTE</t>
  </si>
  <si>
    <t>271,66 FTE</t>
  </si>
  <si>
    <t>780.000,00 $/FTE</t>
  </si>
  <si>
    <t>312.000,00 $/FTE</t>
  </si>
  <si>
    <t>520.000,00 $/FTE</t>
  </si>
  <si>
    <t>117,83 INCI/(yr*FTE)</t>
  </si>
  <si>
    <t>4,19 yr</t>
  </si>
  <si>
    <t>2,57 yr</t>
  </si>
  <si>
    <t>4,84 yr</t>
  </si>
  <si>
    <t>4,74 yr</t>
  </si>
  <si>
    <t>12,33 yr</t>
  </si>
  <si>
    <t>3,02 yr</t>
  </si>
  <si>
    <t>3,48 yr</t>
  </si>
  <si>
    <t>12,54 yr^2</t>
  </si>
  <si>
    <t>19,77 yr^2</t>
  </si>
  <si>
    <t>5,84 yr^2</t>
  </si>
  <si>
    <t>4,46 yr^2</t>
  </si>
  <si>
    <t>232.267.529,99 $/yr</t>
  </si>
  <si>
    <t>0,00013 yr/TA</t>
  </si>
  <si>
    <t>0,00012 yr/TA</t>
  </si>
  <si>
    <t>246,53 TA/FTE</t>
  </si>
  <si>
    <t>248,43 TA/FTE</t>
  </si>
  <si>
    <t>263,36 TA/FTE</t>
  </si>
  <si>
    <t>257,40 TA/FTE</t>
  </si>
  <si>
    <t>263,52 TA/FTE</t>
  </si>
  <si>
    <t>270,00 TA/FTE</t>
  </si>
  <si>
    <t>Periode 1</t>
  </si>
  <si>
    <t>Periode 2</t>
  </si>
  <si>
    <t>Periode 3</t>
  </si>
  <si>
    <t>Periode 4</t>
  </si>
  <si>
    <t>Periode 5</t>
  </si>
  <si>
    <t>Periode 6</t>
  </si>
  <si>
    <t>Periode 7</t>
  </si>
  <si>
    <t>Periode 8</t>
  </si>
  <si>
    <t>Veränderung</t>
  </si>
  <si>
    <t>Einstellung &amp; Entlassung</t>
  </si>
  <si>
    <t>PCs</t>
  </si>
  <si>
    <t>Software</t>
  </si>
  <si>
    <t>Gesamt</t>
  </si>
  <si>
    <t>Durchschnitt</t>
  </si>
  <si>
    <t>Zufriedenheit</t>
  </si>
  <si>
    <t>Periode 0</t>
  </si>
  <si>
    <t>Auslastung</t>
  </si>
  <si>
    <t>Durchschnittalter</t>
  </si>
  <si>
    <t>IT Server</t>
  </si>
  <si>
    <t>IT Comm.Infrastructure</t>
  </si>
  <si>
    <t>IT System SW</t>
  </si>
  <si>
    <t>Bus.Apps. Marketing</t>
  </si>
  <si>
    <t>Desktops</t>
  </si>
  <si>
    <t>Office-SW</t>
  </si>
  <si>
    <t>IT Storage</t>
  </si>
  <si>
    <t xml:space="preserve"> Server</t>
  </si>
  <si>
    <t xml:space="preserve"> Comm. Infrastruct.</t>
  </si>
  <si>
    <t>Auslast-ung</t>
  </si>
  <si>
    <t>Storage</t>
  </si>
  <si>
    <t>Quality</t>
  </si>
  <si>
    <t>MA</t>
  </si>
  <si>
    <t>Ges</t>
  </si>
  <si>
    <t>Mitarbeiter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</si>
</sst>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1" formatCode="_-* #,##0\ _€_-;\-* #,##0\ _€_-;_-* &quot;-&quot;\ _€_-;_-@_-"/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#,##0.00_ ;[Red]\-#,##0.00\ "/>
    <numFmt numFmtId="165" formatCode="_-[$$-409]* #,##0.00_ ;_-[$$-409]* \-#,##0.00\ ;_-[$$-409]* &quot;-&quot;??_ ;_-@_ "/>
    <numFmt numFmtId="166" formatCode="_-* #,##0\ _€_-;\-* #,##0\ _€_-;_-* &quot;-&quot;??\ _€_-;_-@_-"/>
    <numFmt numFmtId="167" formatCode="0.0%"/>
    <numFmt numFmtId="168" formatCode="#,##0.00_ ;\-#,##0.00\ "/>
    <numFmt numFmtId="169" formatCode="_-[$$-409]* #,##0_ ;_-[$$-409]* \-#,##0\ ;_-[$$-409]* &quot;-&quot;??_ ;_-@_ "/>
    <numFmt numFmtId="170" formatCode="[$$-409]#,##0_ ;[Red]\-[$$-409]#,##0\ 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lightUp">
        <bgColor theme="0"/>
      </patternFill>
    </fill>
    <fill>
      <patternFill patternType="lightUp">
        <bgColor theme="0" tint="-4.9989318521683403E-2"/>
      </patternFill>
    </fill>
    <fill>
      <patternFill patternType="lightUp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5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0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 textRotation="90"/>
    </xf>
    <xf numFmtId="10" fontId="0" fillId="0" borderId="0" xfId="0" applyNumberFormat="1"/>
    <xf numFmtId="0" fontId="0" fillId="0" borderId="0" xfId="0" applyAlignment="1">
      <alignment horizontal="center" vertical="center" textRotation="90"/>
    </xf>
    <xf numFmtId="4" fontId="0" fillId="0" borderId="0" xfId="0" applyNumberFormat="1"/>
    <xf numFmtId="4" fontId="0" fillId="0" borderId="1" xfId="0" applyNumberFormat="1" applyBorder="1"/>
    <xf numFmtId="10" fontId="0" fillId="0" borderId="1" xfId="0" applyNumberFormat="1" applyBorder="1"/>
    <xf numFmtId="0" fontId="0" fillId="2" borderId="1" xfId="0" applyFill="1" applyBorder="1"/>
    <xf numFmtId="2" fontId="0" fillId="0" borderId="1" xfId="0" applyNumberFormat="1" applyBorder="1"/>
    <xf numFmtId="4" fontId="0" fillId="2" borderId="1" xfId="0" applyNumberFormat="1" applyFill="1" applyBorder="1"/>
    <xf numFmtId="10" fontId="0" fillId="2" borderId="1" xfId="0" applyNumberFormat="1" applyFill="1" applyBorder="1"/>
    <xf numFmtId="0" fontId="0" fillId="3" borderId="1" xfId="0" applyFill="1" applyBorder="1" applyAlignment="1">
      <alignment horizontal="center" vertical="center" textRotation="90"/>
    </xf>
    <xf numFmtId="0" fontId="0" fillId="3" borderId="1" xfId="0" applyFill="1" applyBorder="1"/>
    <xf numFmtId="2" fontId="0" fillId="2" borderId="1" xfId="0" applyNumberFormat="1" applyFill="1" applyBorder="1"/>
    <xf numFmtId="0" fontId="2" fillId="3" borderId="1" xfId="0" applyFont="1" applyFill="1" applyBorder="1" applyAlignment="1">
      <alignment horizontal="center"/>
    </xf>
    <xf numFmtId="14" fontId="2" fillId="3" borderId="1" xfId="0" applyNumberFormat="1" applyFont="1" applyFill="1" applyBorder="1" applyAlignment="1">
      <alignment horizontal="center"/>
    </xf>
    <xf numFmtId="22" fontId="2" fillId="3" borderId="1" xfId="0" applyNumberFormat="1" applyFont="1" applyFill="1" applyBorder="1" applyAlignment="1">
      <alignment horizontal="center"/>
    </xf>
    <xf numFmtId="14" fontId="0" fillId="0" borderId="0" xfId="0" applyNumberFormat="1"/>
    <xf numFmtId="3" fontId="0" fillId="0" borderId="0" xfId="0" applyNumberFormat="1"/>
    <xf numFmtId="164" fontId="2" fillId="3" borderId="1" xfId="0" applyNumberFormat="1" applyFont="1" applyFill="1" applyBorder="1" applyAlignment="1">
      <alignment horizontal="center"/>
    </xf>
    <xf numFmtId="164" fontId="0" fillId="0" borderId="0" xfId="0" applyNumberFormat="1"/>
    <xf numFmtId="0" fontId="2" fillId="3" borderId="1" xfId="0" applyFont="1" applyFill="1" applyBorder="1" applyAlignment="1">
      <alignment horizontal="center" vertical="center"/>
    </xf>
    <xf numFmtId="4" fontId="0" fillId="0" borderId="0" xfId="0" applyNumberFormat="1" applyAlignment="1">
      <alignment horizontal="center"/>
    </xf>
    <xf numFmtId="164" fontId="0" fillId="2" borderId="1" xfId="0" applyNumberFormat="1" applyFill="1" applyBorder="1"/>
    <xf numFmtId="164" fontId="0" fillId="0" borderId="1" xfId="0" applyNumberFormat="1" applyBorder="1"/>
    <xf numFmtId="164" fontId="0" fillId="3" borderId="1" xfId="0" applyNumberFormat="1" applyFill="1" applyBorder="1"/>
    <xf numFmtId="0" fontId="0" fillId="0" borderId="1" xfId="0" applyBorder="1"/>
    <xf numFmtId="0" fontId="0" fillId="4" borderId="0" xfId="0" applyFill="1"/>
    <xf numFmtId="4" fontId="2" fillId="3" borderId="1" xfId="0" applyNumberFormat="1" applyFont="1" applyFill="1" applyBorder="1" applyAlignment="1">
      <alignment horizontal="center"/>
    </xf>
    <xf numFmtId="10" fontId="0" fillId="0" borderId="1" xfId="1" applyNumberFormat="1" applyFont="1" applyBorder="1"/>
    <xf numFmtId="10" fontId="0" fillId="2" borderId="1" xfId="1" applyNumberFormat="1" applyFont="1" applyFill="1" applyBorder="1"/>
    <xf numFmtId="164" fontId="0" fillId="2" borderId="1" xfId="0" applyNumberForma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3" borderId="1" xfId="0" applyNumberFormat="1" applyFill="1" applyBorder="1" applyAlignment="1">
      <alignment horizontal="center" vertical="center" textRotation="90"/>
    </xf>
    <xf numFmtId="164" fontId="0" fillId="3" borderId="1" xfId="0" applyNumberFormat="1" applyFill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0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0" borderId="0" xfId="0" applyFill="1" applyAlignment="1">
      <alignment horizontal="center" vertical="top"/>
    </xf>
    <xf numFmtId="0" fontId="3" fillId="2" borderId="1" xfId="0" applyFont="1" applyFill="1" applyBorder="1" applyAlignment="1">
      <alignment vertical="top"/>
    </xf>
    <xf numFmtId="0" fontId="0" fillId="2" borderId="1" xfId="0" applyFill="1" applyBorder="1" applyAlignment="1">
      <alignment horizontal="center" vertical="top"/>
    </xf>
    <xf numFmtId="0" fontId="3" fillId="0" borderId="1" xfId="0" applyFont="1" applyFill="1" applyBorder="1" applyAlignment="1">
      <alignment vertical="top"/>
    </xf>
    <xf numFmtId="0" fontId="0" fillId="0" borderId="1" xfId="0" applyFill="1" applyBorder="1" applyAlignment="1">
      <alignment horizontal="center" vertical="top"/>
    </xf>
    <xf numFmtId="3" fontId="3" fillId="0" borderId="1" xfId="0" applyNumberFormat="1" applyFont="1" applyFill="1" applyBorder="1" applyAlignment="1">
      <alignment vertical="top"/>
    </xf>
    <xf numFmtId="3" fontId="0" fillId="0" borderId="1" xfId="0" applyNumberFormat="1" applyFill="1" applyBorder="1" applyAlignment="1">
      <alignment horizontal="center" vertical="top"/>
    </xf>
    <xf numFmtId="0" fontId="3" fillId="3" borderId="1" xfId="0" applyFont="1" applyFill="1" applyBorder="1" applyAlignment="1">
      <alignment vertical="top"/>
    </xf>
    <xf numFmtId="0" fontId="0" fillId="3" borderId="1" xfId="0" applyFill="1" applyBorder="1" applyAlignment="1">
      <alignment horizontal="center" vertical="top"/>
    </xf>
    <xf numFmtId="0" fontId="2" fillId="3" borderId="1" xfId="0" applyFont="1" applyFill="1" applyBorder="1" applyAlignment="1">
      <alignment vertical="center" textRotation="90"/>
    </xf>
    <xf numFmtId="0" fontId="2" fillId="3" borderId="1" xfId="0" applyFont="1" applyFill="1" applyBorder="1" applyAlignment="1">
      <alignment vertical="top"/>
    </xf>
    <xf numFmtId="0" fontId="2" fillId="3" borderId="1" xfId="0" applyFont="1" applyFill="1" applyBorder="1" applyAlignment="1">
      <alignment vertical="center" textRotation="90" wrapText="1"/>
    </xf>
    <xf numFmtId="0" fontId="2" fillId="3" borderId="1" xfId="0" applyFont="1" applyFill="1" applyBorder="1" applyAlignment="1">
      <alignment vertical="top" wrapText="1"/>
    </xf>
    <xf numFmtId="0" fontId="4" fillId="3" borderId="1" xfId="0" applyFont="1" applyFill="1" applyBorder="1" applyAlignment="1">
      <alignment horizontal="center" vertical="top" wrapText="1"/>
    </xf>
    <xf numFmtId="3" fontId="2" fillId="3" borderId="1" xfId="0" applyNumberFormat="1" applyFont="1" applyFill="1" applyBorder="1" applyAlignment="1">
      <alignment vertical="center" textRotation="90"/>
    </xf>
    <xf numFmtId="3" fontId="2" fillId="3" borderId="1" xfId="0" applyNumberFormat="1" applyFont="1" applyFill="1" applyBorder="1" applyAlignment="1">
      <alignment vertical="top"/>
    </xf>
    <xf numFmtId="3" fontId="4" fillId="3" borderId="1" xfId="0" applyNumberFormat="1" applyFont="1" applyFill="1" applyBorder="1" applyAlignment="1">
      <alignment horizontal="center" vertical="top"/>
    </xf>
    <xf numFmtId="0" fontId="0" fillId="0" borderId="1" xfId="0" applyFill="1" applyBorder="1" applyAlignment="1">
      <alignment horizontal="center"/>
    </xf>
    <xf numFmtId="3" fontId="0" fillId="0" borderId="1" xfId="0" applyNumberFormat="1" applyFill="1" applyBorder="1" applyAlignment="1">
      <alignment horizontal="center"/>
    </xf>
    <xf numFmtId="0" fontId="3" fillId="0" borderId="0" xfId="0" applyFont="1" applyFill="1" applyAlignment="1">
      <alignment vertical="center" textRotation="90"/>
    </xf>
    <xf numFmtId="0" fontId="3" fillId="0" borderId="0" xfId="0" applyFont="1" applyFill="1" applyAlignment="1">
      <alignment vertical="top"/>
    </xf>
    <xf numFmtId="0" fontId="0" fillId="2" borderId="1" xfId="0" applyFill="1" applyBorder="1" applyAlignment="1">
      <alignment horizontal="center"/>
    </xf>
    <xf numFmtId="3" fontId="3" fillId="2" borderId="1" xfId="0" applyNumberFormat="1" applyFont="1" applyFill="1" applyBorder="1" applyAlignment="1">
      <alignment vertical="top"/>
    </xf>
    <xf numFmtId="3" fontId="0" fillId="2" borderId="1" xfId="0" applyNumberFormat="1" applyFill="1" applyBorder="1" applyAlignment="1">
      <alignment horizontal="center"/>
    </xf>
    <xf numFmtId="3" fontId="0" fillId="2" borderId="1" xfId="0" applyNumberFormat="1" applyFill="1" applyBorder="1" applyAlignment="1">
      <alignment horizontal="center" vertical="top"/>
    </xf>
    <xf numFmtId="0" fontId="0" fillId="4" borderId="1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4" borderId="0" xfId="0" applyFont="1" applyFill="1"/>
    <xf numFmtId="0" fontId="0" fillId="3" borderId="24" xfId="0" applyFill="1" applyBorder="1"/>
    <xf numFmtId="0" fontId="0" fillId="3" borderId="26" xfId="0" applyFill="1" applyBorder="1"/>
    <xf numFmtId="0" fontId="0" fillId="3" borderId="27" xfId="0" applyFill="1" applyBorder="1"/>
    <xf numFmtId="0" fontId="0" fillId="3" borderId="0" xfId="0" applyFill="1" applyBorder="1"/>
    <xf numFmtId="0" fontId="0" fillId="3" borderId="28" xfId="0" applyFill="1" applyBorder="1"/>
    <xf numFmtId="0" fontId="0" fillId="3" borderId="31" xfId="0" applyFill="1" applyBorder="1"/>
    <xf numFmtId="0" fontId="0" fillId="3" borderId="29" xfId="0" applyFill="1" applyBorder="1"/>
    <xf numFmtId="0" fontId="0" fillId="3" borderId="30" xfId="0" applyFill="1" applyBorder="1"/>
    <xf numFmtId="0" fontId="0" fillId="3" borderId="30" xfId="0" applyFont="1" applyFill="1" applyBorder="1"/>
    <xf numFmtId="0" fontId="0" fillId="3" borderId="0" xfId="0" applyFont="1" applyFill="1" applyBorder="1"/>
    <xf numFmtId="0" fontId="0" fillId="3" borderId="1" xfId="0" applyFill="1" applyBorder="1" applyAlignment="1">
      <alignment horizontal="center"/>
    </xf>
    <xf numFmtId="0" fontId="2" fillId="3" borderId="1" xfId="0" applyFont="1" applyFill="1" applyBorder="1" applyAlignment="1">
      <alignment horizontal="center" vertical="top"/>
    </xf>
    <xf numFmtId="0" fontId="0" fillId="0" borderId="32" xfId="0" applyFill="1" applyBorder="1" applyAlignment="1">
      <alignment horizontal="center" vertical="top"/>
    </xf>
    <xf numFmtId="3" fontId="0" fillId="2" borderId="33" xfId="0" applyNumberFormat="1" applyFill="1" applyBorder="1" applyAlignment="1">
      <alignment horizontal="center" vertical="top"/>
    </xf>
    <xf numFmtId="0" fontId="3" fillId="3" borderId="0" xfId="0" applyFont="1" applyFill="1" applyBorder="1" applyAlignment="1">
      <alignment vertical="top"/>
    </xf>
    <xf numFmtId="0" fontId="0" fillId="3" borderId="0" xfId="0" applyFill="1" applyBorder="1" applyAlignment="1">
      <alignment horizontal="center" vertical="top"/>
    </xf>
    <xf numFmtId="3" fontId="0" fillId="2" borderId="32" xfId="0" applyNumberFormat="1" applyFill="1" applyBorder="1" applyAlignment="1">
      <alignment horizontal="center" vertical="top"/>
    </xf>
    <xf numFmtId="0" fontId="3" fillId="0" borderId="33" xfId="0" applyFont="1" applyFill="1" applyBorder="1" applyAlignment="1">
      <alignment vertical="top"/>
    </xf>
    <xf numFmtId="0" fontId="0" fillId="0" borderId="33" xfId="0" applyFill="1" applyBorder="1" applyAlignment="1">
      <alignment horizontal="center" vertical="top"/>
    </xf>
    <xf numFmtId="0" fontId="3" fillId="3" borderId="0" xfId="0" applyFont="1" applyFill="1" applyBorder="1" applyAlignment="1">
      <alignment vertical="center" textRotation="90"/>
    </xf>
    <xf numFmtId="3" fontId="3" fillId="3" borderId="0" xfId="0" applyNumberFormat="1" applyFont="1" applyFill="1" applyBorder="1" applyAlignment="1">
      <alignment vertical="top"/>
    </xf>
    <xf numFmtId="3" fontId="0" fillId="3" borderId="0" xfId="0" applyNumberFormat="1" applyFill="1" applyBorder="1" applyAlignment="1">
      <alignment horizontal="center"/>
    </xf>
    <xf numFmtId="3" fontId="0" fillId="3" borderId="0" xfId="0" applyNumberFormat="1" applyFill="1" applyBorder="1" applyAlignment="1">
      <alignment horizontal="center" vertical="top"/>
    </xf>
    <xf numFmtId="0" fontId="3" fillId="2" borderId="32" xfId="0" applyFont="1" applyFill="1" applyBorder="1" applyAlignment="1">
      <alignment vertical="top"/>
    </xf>
    <xf numFmtId="0" fontId="0" fillId="2" borderId="32" xfId="0" applyFill="1" applyBorder="1" applyAlignment="1">
      <alignment horizontal="center" vertical="top"/>
    </xf>
    <xf numFmtId="0" fontId="0" fillId="0" borderId="9" xfId="0" applyFill="1" applyBorder="1" applyAlignment="1">
      <alignment horizontal="center" vertical="top"/>
    </xf>
    <xf numFmtId="0" fontId="0" fillId="2" borderId="12" xfId="0" applyFill="1" applyBorder="1" applyAlignment="1">
      <alignment horizontal="center" vertical="top"/>
    </xf>
    <xf numFmtId="0" fontId="0" fillId="0" borderId="12" xfId="0" applyFill="1" applyBorder="1" applyAlignment="1">
      <alignment horizontal="center" vertical="top"/>
    </xf>
    <xf numFmtId="0" fontId="0" fillId="0" borderId="4" xfId="0" applyFill="1" applyBorder="1" applyAlignment="1">
      <alignment horizontal="center" vertical="top"/>
    </xf>
    <xf numFmtId="3" fontId="0" fillId="2" borderId="9" xfId="0" applyNumberFormat="1" applyFill="1" applyBorder="1" applyAlignment="1">
      <alignment horizontal="center" vertical="top"/>
    </xf>
    <xf numFmtId="3" fontId="0" fillId="0" borderId="12" xfId="0" applyNumberFormat="1" applyFill="1" applyBorder="1" applyAlignment="1">
      <alignment horizontal="center" vertical="top"/>
    </xf>
    <xf numFmtId="3" fontId="0" fillId="2" borderId="4" xfId="0" applyNumberFormat="1" applyFill="1" applyBorder="1" applyAlignment="1">
      <alignment horizontal="center" vertical="top"/>
    </xf>
    <xf numFmtId="2" fontId="0" fillId="4" borderId="1" xfId="0" applyNumberFormat="1" applyFill="1" applyBorder="1"/>
    <xf numFmtId="0" fontId="0" fillId="4" borderId="1" xfId="0" applyFill="1" applyBorder="1"/>
    <xf numFmtId="10" fontId="0" fillId="4" borderId="1" xfId="0" applyNumberFormat="1" applyFill="1" applyBorder="1"/>
    <xf numFmtId="0" fontId="3" fillId="3" borderId="0" xfId="0" applyFont="1" applyFill="1" applyBorder="1" applyAlignment="1">
      <alignment horizontal="center"/>
    </xf>
    <xf numFmtId="10" fontId="0" fillId="4" borderId="1" xfId="1" applyNumberFormat="1" applyFont="1" applyFill="1" applyBorder="1"/>
    <xf numFmtId="2" fontId="0" fillId="4" borderId="33" xfId="0" applyNumberFormat="1" applyFill="1" applyBorder="1"/>
    <xf numFmtId="10" fontId="0" fillId="4" borderId="33" xfId="1" applyNumberFormat="1" applyFont="1" applyFill="1" applyBorder="1"/>
    <xf numFmtId="2" fontId="0" fillId="4" borderId="37" xfId="0" applyNumberFormat="1" applyFill="1" applyBorder="1"/>
    <xf numFmtId="10" fontId="0" fillId="4" borderId="17" xfId="0" applyNumberFormat="1" applyFill="1" applyBorder="1"/>
    <xf numFmtId="10" fontId="0" fillId="4" borderId="41" xfId="1" applyNumberFormat="1" applyFont="1" applyFill="1" applyBorder="1"/>
    <xf numFmtId="10" fontId="0" fillId="4" borderId="17" xfId="1" applyNumberFormat="1" applyFont="1" applyFill="1" applyBorder="1"/>
    <xf numFmtId="2" fontId="0" fillId="4" borderId="19" xfId="0" applyNumberFormat="1" applyFill="1" applyBorder="1"/>
    <xf numFmtId="2" fontId="0" fillId="4" borderId="17" xfId="0" applyNumberFormat="1" applyFill="1" applyBorder="1"/>
    <xf numFmtId="0" fontId="0" fillId="4" borderId="19" xfId="0" applyFill="1" applyBorder="1"/>
    <xf numFmtId="2" fontId="0" fillId="4" borderId="20" xfId="0" applyNumberFormat="1" applyFill="1" applyBorder="1"/>
    <xf numFmtId="0" fontId="0" fillId="5" borderId="1" xfId="0" applyFill="1" applyBorder="1"/>
    <xf numFmtId="0" fontId="0" fillId="5" borderId="17" xfId="0" applyFill="1" applyBorder="1"/>
    <xf numFmtId="9" fontId="0" fillId="5" borderId="1" xfId="1" applyFont="1" applyFill="1" applyBorder="1"/>
    <xf numFmtId="9" fontId="0" fillId="5" borderId="17" xfId="1" applyFont="1" applyFill="1" applyBorder="1"/>
    <xf numFmtId="9" fontId="0" fillId="5" borderId="37" xfId="1" applyFont="1" applyFill="1" applyBorder="1"/>
    <xf numFmtId="9" fontId="0" fillId="5" borderId="39" xfId="1" applyFont="1" applyFill="1" applyBorder="1"/>
    <xf numFmtId="9" fontId="0" fillId="5" borderId="19" xfId="1" applyFont="1" applyFill="1" applyBorder="1"/>
    <xf numFmtId="9" fontId="0" fillId="5" borderId="20" xfId="1" applyFont="1" applyFill="1" applyBorder="1"/>
    <xf numFmtId="4" fontId="0" fillId="4" borderId="1" xfId="0" applyNumberFormat="1" applyFont="1" applyFill="1" applyBorder="1"/>
    <xf numFmtId="4" fontId="0" fillId="4" borderId="19" xfId="0" applyNumberFormat="1" applyFont="1" applyFill="1" applyBorder="1"/>
    <xf numFmtId="4" fontId="0" fillId="4" borderId="1" xfId="0" applyNumberFormat="1" applyFill="1" applyBorder="1" applyAlignment="1">
      <alignment horizontal="right"/>
    </xf>
    <xf numFmtId="4" fontId="0" fillId="4" borderId="19" xfId="0" applyNumberFormat="1" applyFill="1" applyBorder="1" applyAlignment="1">
      <alignment horizontal="right"/>
    </xf>
    <xf numFmtId="4" fontId="0" fillId="4" borderId="17" xfId="0" applyNumberFormat="1" applyFill="1" applyBorder="1" applyAlignment="1">
      <alignment horizontal="right"/>
    </xf>
    <xf numFmtId="4" fontId="0" fillId="4" borderId="20" xfId="0" applyNumberFormat="1" applyFill="1" applyBorder="1" applyAlignment="1">
      <alignment horizontal="right"/>
    </xf>
    <xf numFmtId="0" fontId="0" fillId="3" borderId="27" xfId="0" applyFill="1" applyBorder="1" applyAlignment="1"/>
    <xf numFmtId="0" fontId="0" fillId="3" borderId="0" xfId="0" applyFill="1" applyBorder="1" applyAlignment="1"/>
    <xf numFmtId="0" fontId="0" fillId="3" borderId="28" xfId="0" applyFill="1" applyBorder="1" applyAlignment="1"/>
    <xf numFmtId="0" fontId="0" fillId="3" borderId="29" xfId="0" applyFill="1" applyBorder="1" applyAlignment="1"/>
    <xf numFmtId="0" fontId="0" fillId="3" borderId="30" xfId="0" applyFill="1" applyBorder="1" applyAlignment="1"/>
    <xf numFmtId="0" fontId="0" fillId="3" borderId="31" xfId="0" applyFill="1" applyBorder="1" applyAlignment="1"/>
    <xf numFmtId="165" fontId="1" fillId="4" borderId="32" xfId="2" applyNumberFormat="1" applyFont="1" applyFill="1" applyBorder="1"/>
    <xf numFmtId="0" fontId="0" fillId="4" borderId="33" xfId="0" applyFill="1" applyBorder="1" applyAlignment="1">
      <alignment horizontal="center"/>
    </xf>
    <xf numFmtId="0" fontId="0" fillId="4" borderId="41" xfId="0" applyFill="1" applyBorder="1" applyAlignment="1">
      <alignment horizontal="center"/>
    </xf>
    <xf numFmtId="4" fontId="0" fillId="4" borderId="33" xfId="0" applyNumberFormat="1" applyFont="1" applyFill="1" applyBorder="1"/>
    <xf numFmtId="4" fontId="0" fillId="4" borderId="33" xfId="0" applyNumberFormat="1" applyFill="1" applyBorder="1" applyAlignment="1">
      <alignment horizontal="right"/>
    </xf>
    <xf numFmtId="4" fontId="0" fillId="4" borderId="41" xfId="0" applyNumberFormat="1" applyFill="1" applyBorder="1" applyAlignment="1">
      <alignment horizontal="right"/>
    </xf>
    <xf numFmtId="165" fontId="0" fillId="0" borderId="1" xfId="2" applyNumberFormat="1" applyFont="1" applyBorder="1"/>
    <xf numFmtId="165" fontId="0" fillId="0" borderId="1" xfId="0" applyNumberFormat="1" applyBorder="1"/>
    <xf numFmtId="43" fontId="0" fillId="0" borderId="1" xfId="3" applyFont="1" applyBorder="1"/>
    <xf numFmtId="43" fontId="4" fillId="3" borderId="1" xfId="0" applyNumberFormat="1" applyFont="1" applyFill="1" applyBorder="1" applyAlignment="1">
      <alignment horizontal="center" vertical="top"/>
    </xf>
    <xf numFmtId="41" fontId="0" fillId="0" borderId="1" xfId="3" applyNumberFormat="1" applyFont="1" applyBorder="1"/>
    <xf numFmtId="166" fontId="4" fillId="3" borderId="1" xfId="0" applyNumberFormat="1" applyFont="1" applyFill="1" applyBorder="1" applyAlignment="1">
      <alignment horizontal="center" vertical="top"/>
    </xf>
    <xf numFmtId="0" fontId="0" fillId="4" borderId="10" xfId="0" applyFill="1" applyBorder="1"/>
    <xf numFmtId="0" fontId="3" fillId="0" borderId="1" xfId="0" applyFont="1" applyBorder="1"/>
    <xf numFmtId="165" fontId="0" fillId="3" borderId="1" xfId="0" applyNumberFormat="1" applyFill="1" applyBorder="1"/>
    <xf numFmtId="0" fontId="2" fillId="3" borderId="1" xfId="0" applyFont="1" applyFill="1" applyBorder="1"/>
    <xf numFmtId="2" fontId="2" fillId="3" borderId="1" xfId="0" applyNumberFormat="1" applyFont="1" applyFill="1" applyBorder="1"/>
    <xf numFmtId="0" fontId="2" fillId="0" borderId="1" xfId="0" applyFont="1" applyBorder="1" applyAlignment="1">
      <alignment horizontal="center"/>
    </xf>
    <xf numFmtId="1" fontId="2" fillId="3" borderId="1" xfId="0" applyNumberFormat="1" applyFont="1" applyFill="1" applyBorder="1"/>
    <xf numFmtId="1" fontId="0" fillId="0" borderId="1" xfId="0" applyNumberFormat="1" applyBorder="1"/>
    <xf numFmtId="1" fontId="0" fillId="3" borderId="1" xfId="0" applyNumberFormat="1" applyFill="1" applyBorder="1"/>
    <xf numFmtId="2" fontId="0" fillId="3" borderId="1" xfId="0" applyNumberFormat="1" applyFill="1" applyBorder="1"/>
    <xf numFmtId="43" fontId="0" fillId="0" borderId="1" xfId="0" applyNumberFormat="1" applyBorder="1"/>
    <xf numFmtId="43" fontId="2" fillId="3" borderId="1" xfId="0" applyNumberFormat="1" applyFont="1" applyFill="1" applyBorder="1"/>
    <xf numFmtId="166" fontId="2" fillId="3" borderId="1" xfId="0" applyNumberFormat="1" applyFont="1" applyFill="1" applyBorder="1"/>
    <xf numFmtId="0" fontId="4" fillId="3" borderId="1" xfId="0" applyFont="1" applyFill="1" applyBorder="1" applyAlignment="1">
      <alignment horizontal="center" vertical="top"/>
    </xf>
    <xf numFmtId="167" fontId="0" fillId="0" borderId="1" xfId="1" applyNumberFormat="1" applyFont="1" applyBorder="1"/>
    <xf numFmtId="167" fontId="0" fillId="2" borderId="1" xfId="1" applyNumberFormat="1" applyFont="1" applyFill="1" applyBorder="1"/>
    <xf numFmtId="0" fontId="0" fillId="3" borderId="0" xfId="0" applyFill="1"/>
    <xf numFmtId="165" fontId="2" fillId="3" borderId="1" xfId="0" applyNumberFormat="1" applyFont="1" applyFill="1" applyBorder="1" applyAlignment="1">
      <alignment horizontal="center"/>
    </xf>
    <xf numFmtId="165" fontId="0" fillId="2" borderId="1" xfId="0" applyNumberFormat="1" applyFill="1" applyBorder="1"/>
    <xf numFmtId="165" fontId="0" fillId="0" borderId="0" xfId="0" applyNumberFormat="1"/>
    <xf numFmtId="168" fontId="0" fillId="6" borderId="1" xfId="0" applyNumberFormat="1" applyFill="1" applyBorder="1"/>
    <xf numFmtId="168" fontId="0" fillId="7" borderId="1" xfId="0" applyNumberFormat="1" applyFill="1" applyBorder="1"/>
    <xf numFmtId="165" fontId="0" fillId="6" borderId="1" xfId="0" applyNumberFormat="1" applyFill="1" applyBorder="1"/>
    <xf numFmtId="165" fontId="0" fillId="7" borderId="1" xfId="0" applyNumberFormat="1" applyFill="1" applyBorder="1"/>
    <xf numFmtId="3" fontId="0" fillId="0" borderId="1" xfId="0" applyNumberFormat="1" applyBorder="1"/>
    <xf numFmtId="0" fontId="3" fillId="8" borderId="1" xfId="0" applyFont="1" applyFill="1" applyBorder="1" applyAlignment="1">
      <alignment horizontal="center"/>
    </xf>
    <xf numFmtId="165" fontId="3" fillId="8" borderId="1" xfId="0" applyNumberFormat="1" applyFont="1" applyFill="1" applyBorder="1" applyAlignment="1">
      <alignment horizontal="center"/>
    </xf>
    <xf numFmtId="0" fontId="3" fillId="8" borderId="1" xfId="0" applyFont="1" applyFill="1" applyBorder="1"/>
    <xf numFmtId="14" fontId="2" fillId="3" borderId="1" xfId="0" applyNumberFormat="1" applyFont="1" applyFill="1" applyBorder="1" applyAlignment="1">
      <alignment horizontal="center"/>
    </xf>
    <xf numFmtId="2" fontId="0" fillId="4" borderId="45" xfId="0" applyNumberFormat="1" applyFill="1" applyBorder="1"/>
    <xf numFmtId="0" fontId="3" fillId="8" borderId="22" xfId="0" applyFont="1" applyFill="1" applyBorder="1" applyAlignment="1">
      <alignment horizontal="center"/>
    </xf>
    <xf numFmtId="10" fontId="0" fillId="0" borderId="20" xfId="0" applyNumberFormat="1" applyFill="1" applyBorder="1"/>
    <xf numFmtId="10" fontId="0" fillId="2" borderId="1" xfId="1" applyNumberFormat="1" applyFont="1" applyFill="1" applyBorder="1" applyAlignment="1">
      <alignment horizontal="center" vertical="center" textRotation="90"/>
    </xf>
    <xf numFmtId="10" fontId="0" fillId="0" borderId="1" xfId="0" applyNumberFormat="1" applyFont="1" applyFill="1" applyBorder="1" applyAlignment="1"/>
    <xf numFmtId="0" fontId="0" fillId="4" borderId="0" xfId="0" applyFont="1" applyFill="1" applyBorder="1"/>
    <xf numFmtId="169" fontId="0" fillId="4" borderId="1" xfId="0" applyNumberFormat="1" applyFill="1" applyBorder="1"/>
    <xf numFmtId="169" fontId="0" fillId="0" borderId="1" xfId="0" applyNumberFormat="1" applyFont="1" applyFill="1" applyBorder="1" applyAlignment="1"/>
    <xf numFmtId="169" fontId="0" fillId="4" borderId="32" xfId="2" applyNumberFormat="1" applyFont="1" applyFill="1" applyBorder="1"/>
    <xf numFmtId="169" fontId="0" fillId="4" borderId="43" xfId="2" applyNumberFormat="1" applyFont="1" applyFill="1" applyBorder="1"/>
    <xf numFmtId="0" fontId="0" fillId="3" borderId="46" xfId="0" applyFill="1" applyBorder="1"/>
    <xf numFmtId="0" fontId="3" fillId="8" borderId="42" xfId="0" applyFont="1" applyFill="1" applyBorder="1"/>
    <xf numFmtId="0" fontId="3" fillId="8" borderId="32" xfId="0" applyFont="1" applyFill="1" applyBorder="1" applyAlignment="1">
      <alignment horizontal="center"/>
    </xf>
    <xf numFmtId="0" fontId="3" fillId="8" borderId="43" xfId="0" applyFont="1" applyFill="1" applyBorder="1" applyAlignment="1">
      <alignment horizontal="center"/>
    </xf>
    <xf numFmtId="0" fontId="3" fillId="8" borderId="16" xfId="0" applyFont="1" applyFill="1" applyBorder="1"/>
    <xf numFmtId="0" fontId="3" fillId="8" borderId="40" xfId="0" applyFont="1" applyFill="1" applyBorder="1"/>
    <xf numFmtId="0" fontId="3" fillId="8" borderId="18" xfId="0" applyFont="1" applyFill="1" applyBorder="1"/>
    <xf numFmtId="0" fontId="3" fillId="8" borderId="17" xfId="0" applyFont="1" applyFill="1" applyBorder="1" applyAlignment="1">
      <alignment horizontal="center"/>
    </xf>
    <xf numFmtId="0" fontId="3" fillId="8" borderId="21" xfId="0" applyFont="1" applyFill="1" applyBorder="1"/>
    <xf numFmtId="0" fontId="3" fillId="8" borderId="23" xfId="0" applyFont="1" applyFill="1" applyBorder="1" applyAlignment="1">
      <alignment horizontal="center"/>
    </xf>
    <xf numFmtId="0" fontId="3" fillId="8" borderId="44" xfId="0" applyFont="1" applyFill="1" applyBorder="1" applyAlignment="1">
      <alignment horizontal="center"/>
    </xf>
    <xf numFmtId="0" fontId="3" fillId="8" borderId="38" xfId="0" applyFont="1" applyFill="1" applyBorder="1"/>
    <xf numFmtId="0" fontId="0" fillId="8" borderId="1" xfId="0" applyFill="1" applyBorder="1" applyAlignment="1"/>
    <xf numFmtId="0" fontId="3" fillId="8" borderId="1" xfId="0" applyFont="1" applyFill="1" applyBorder="1" applyAlignment="1"/>
    <xf numFmtId="0" fontId="0" fillId="3" borderId="0" xfId="0" applyFont="1" applyFill="1"/>
    <xf numFmtId="0" fontId="3" fillId="3" borderId="1" xfId="0" applyFont="1" applyFill="1" applyBorder="1"/>
    <xf numFmtId="0" fontId="3" fillId="3" borderId="0" xfId="0" applyFont="1" applyFill="1"/>
    <xf numFmtId="0" fontId="3" fillId="3" borderId="32" xfId="0" applyFont="1" applyFill="1" applyBorder="1"/>
    <xf numFmtId="14" fontId="3" fillId="3" borderId="32" xfId="0" applyNumberFormat="1" applyFont="1" applyFill="1" applyBorder="1"/>
    <xf numFmtId="0" fontId="3" fillId="3" borderId="33" xfId="0" applyFont="1" applyFill="1" applyBorder="1"/>
    <xf numFmtId="0" fontId="0" fillId="0" borderId="33" xfId="0" applyBorder="1"/>
    <xf numFmtId="0" fontId="3" fillId="3" borderId="47" xfId="0" applyFont="1" applyFill="1" applyBorder="1"/>
    <xf numFmtId="10" fontId="0" fillId="0" borderId="48" xfId="0" applyNumberFormat="1" applyBorder="1"/>
    <xf numFmtId="0" fontId="0" fillId="0" borderId="35" xfId="0" applyBorder="1"/>
    <xf numFmtId="0" fontId="3" fillId="3" borderId="21" xfId="0" applyFont="1" applyFill="1" applyBorder="1"/>
    <xf numFmtId="0" fontId="0" fillId="0" borderId="23" xfId="0" applyBorder="1"/>
    <xf numFmtId="0" fontId="0" fillId="0" borderId="25" xfId="0" applyBorder="1"/>
    <xf numFmtId="0" fontId="3" fillId="3" borderId="16" xfId="0" applyFont="1" applyFill="1" applyBorder="1"/>
    <xf numFmtId="0" fontId="0" fillId="0" borderId="0" xfId="0" applyBorder="1"/>
    <xf numFmtId="0" fontId="3" fillId="3" borderId="18" xfId="0" applyFont="1" applyFill="1" applyBorder="1"/>
    <xf numFmtId="0" fontId="0" fillId="0" borderId="19" xfId="0" applyBorder="1"/>
    <xf numFmtId="0" fontId="0" fillId="0" borderId="30" xfId="0" applyBorder="1"/>
    <xf numFmtId="170" fontId="3" fillId="3" borderId="47" xfId="0" applyNumberFormat="1" applyFont="1" applyFill="1" applyBorder="1"/>
    <xf numFmtId="170" fontId="0" fillId="0" borderId="48" xfId="0" applyNumberFormat="1" applyBorder="1"/>
    <xf numFmtId="170" fontId="0" fillId="0" borderId="35" xfId="0" applyNumberFormat="1" applyBorder="1"/>
    <xf numFmtId="9" fontId="0" fillId="0" borderId="33" xfId="0" applyNumberFormat="1" applyBorder="1"/>
    <xf numFmtId="9" fontId="0" fillId="0" borderId="1" xfId="0" applyNumberFormat="1" applyBorder="1"/>
    <xf numFmtId="9" fontId="0" fillId="0" borderId="23" xfId="0" applyNumberFormat="1" applyBorder="1"/>
    <xf numFmtId="10" fontId="0" fillId="0" borderId="19" xfId="1" applyNumberFormat="1" applyFont="1" applyBorder="1"/>
    <xf numFmtId="0" fontId="3" fillId="3" borderId="49" xfId="0" applyFont="1" applyFill="1" applyBorder="1"/>
    <xf numFmtId="10" fontId="0" fillId="0" borderId="50" xfId="1" applyNumberFormat="1" applyFont="1" applyBorder="1"/>
    <xf numFmtId="164" fontId="0" fillId="0" borderId="1" xfId="0" applyNumberFormat="1" applyFill="1" applyBorder="1"/>
    <xf numFmtId="0" fontId="0" fillId="3" borderId="25" xfId="0" applyFill="1" applyBorder="1"/>
    <xf numFmtId="0" fontId="0" fillId="3" borderId="25" xfId="0" applyFont="1" applyFill="1" applyBorder="1"/>
    <xf numFmtId="0" fontId="3" fillId="9" borderId="16" xfId="0" applyFont="1" applyFill="1" applyBorder="1"/>
    <xf numFmtId="3" fontId="0" fillId="0" borderId="17" xfId="0" applyNumberFormat="1" applyFont="1" applyFill="1" applyBorder="1"/>
    <xf numFmtId="167" fontId="0" fillId="0" borderId="17" xfId="1" applyNumberFormat="1" applyFont="1" applyFill="1" applyBorder="1"/>
    <xf numFmtId="1" fontId="0" fillId="0" borderId="17" xfId="0" applyNumberFormat="1" applyFont="1" applyFill="1" applyBorder="1"/>
    <xf numFmtId="9" fontId="0" fillId="0" borderId="17" xfId="1" applyFont="1" applyFill="1" applyBorder="1"/>
    <xf numFmtId="0" fontId="3" fillId="9" borderId="18" xfId="0" applyFont="1" applyFill="1" applyBorder="1"/>
    <xf numFmtId="167" fontId="0" fillId="0" borderId="20" xfId="1" applyNumberFormat="1" applyFont="1" applyFill="1" applyBorder="1"/>
    <xf numFmtId="169" fontId="0" fillId="0" borderId="23" xfId="0" applyNumberFormat="1" applyBorder="1"/>
    <xf numFmtId="169" fontId="0" fillId="0" borderId="1" xfId="0" applyNumberFormat="1" applyBorder="1"/>
    <xf numFmtId="169" fontId="0" fillId="0" borderId="19" xfId="0" applyNumberFormat="1" applyBorder="1"/>
    <xf numFmtId="167" fontId="0" fillId="0" borderId="1" xfId="1" applyNumberFormat="1" applyFont="1" applyFill="1" applyBorder="1"/>
    <xf numFmtId="14" fontId="2" fillId="3" borderId="1" xfId="0" applyNumberFormat="1" applyFont="1" applyFill="1" applyBorder="1" applyAlignment="1">
      <alignment horizontal="center"/>
    </xf>
    <xf numFmtId="2" fontId="0" fillId="4" borderId="0" xfId="0" applyNumberFormat="1" applyFill="1"/>
    <xf numFmtId="4" fontId="0" fillId="0" borderId="1" xfId="1" applyNumberFormat="1" applyFont="1" applyBorder="1"/>
    <xf numFmtId="2" fontId="2" fillId="3" borderId="1" xfId="0" applyNumberFormat="1" applyFon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right"/>
    </xf>
    <xf numFmtId="2" fontId="0" fillId="0" borderId="1" xfId="0" applyNumberFormat="1" applyBorder="1" applyAlignment="1">
      <alignment horizontal="right"/>
    </xf>
    <xf numFmtId="2" fontId="0" fillId="3" borderId="1" xfId="0" applyNumberFormat="1" applyFill="1" applyBorder="1" applyAlignment="1">
      <alignment horizontal="right"/>
    </xf>
    <xf numFmtId="2" fontId="0" fillId="0" borderId="0" xfId="0" applyNumberFormat="1" applyAlignment="1">
      <alignment horizontal="right"/>
    </xf>
    <xf numFmtId="14" fontId="2" fillId="3" borderId="1" xfId="0" applyNumberFormat="1" applyFont="1" applyFill="1" applyBorder="1" applyAlignment="1">
      <alignment horizontal="center"/>
    </xf>
    <xf numFmtId="166" fontId="0" fillId="2" borderId="1" xfId="3" applyNumberFormat="1" applyFont="1" applyFill="1" applyBorder="1"/>
    <xf numFmtId="166" fontId="0" fillId="4" borderId="1" xfId="3" applyNumberFormat="1" applyFont="1" applyFill="1" applyBorder="1"/>
    <xf numFmtId="2" fontId="0" fillId="4" borderId="1" xfId="0" applyNumberFormat="1" applyFill="1" applyBorder="1" applyAlignment="1">
      <alignment horizontal="right"/>
    </xf>
    <xf numFmtId="14" fontId="2" fillId="3" borderId="1" xfId="0" applyNumberFormat="1" applyFont="1" applyFill="1" applyBorder="1" applyAlignment="1">
      <alignment horizontal="center"/>
    </xf>
    <xf numFmtId="14" fontId="2" fillId="3" borderId="1" xfId="0" applyNumberFormat="1" applyFont="1" applyFill="1" applyBorder="1" applyAlignment="1">
      <alignment horizontal="center"/>
    </xf>
    <xf numFmtId="4" fontId="0" fillId="0" borderId="0" xfId="0" applyNumberFormat="1" applyAlignment="1">
      <alignment horizontal="right"/>
    </xf>
    <xf numFmtId="14" fontId="2" fillId="3" borderId="1" xfId="0" applyNumberFormat="1" applyFont="1" applyFill="1" applyBorder="1" applyAlignment="1">
      <alignment horizontal="center"/>
    </xf>
    <xf numFmtId="14" fontId="2" fillId="3" borderId="1" xfId="0" applyNumberFormat="1" applyFont="1" applyFill="1" applyBorder="1" applyAlignment="1">
      <alignment horizontal="center"/>
    </xf>
    <xf numFmtId="10" fontId="0" fillId="0" borderId="0" xfId="1" applyNumberFormat="1" applyFont="1"/>
    <xf numFmtId="169" fontId="0" fillId="3" borderId="0" xfId="0" applyNumberFormat="1" applyFill="1" applyBorder="1" applyAlignment="1"/>
    <xf numFmtId="0" fontId="3" fillId="8" borderId="1" xfId="0" applyFont="1" applyFill="1" applyBorder="1" applyAlignment="1">
      <alignment horizontal="center" vertical="center" textRotation="90" wrapText="1"/>
    </xf>
    <xf numFmtId="0" fontId="3" fillId="0" borderId="0" xfId="0" applyFont="1" applyAlignment="1">
      <alignment horizontal="center" vertical="center" textRotation="90" wrapText="1"/>
    </xf>
    <xf numFmtId="0" fontId="3" fillId="8" borderId="1" xfId="0" quotePrefix="1" applyFont="1" applyFill="1" applyBorder="1" applyAlignment="1">
      <alignment horizontal="center"/>
    </xf>
    <xf numFmtId="0" fontId="0" fillId="0" borderId="22" xfId="0" applyBorder="1"/>
    <xf numFmtId="0" fontId="0" fillId="0" borderId="17" xfId="0" applyBorder="1"/>
    <xf numFmtId="0" fontId="3" fillId="8" borderId="52" xfId="0" applyFont="1" applyFill="1" applyBorder="1"/>
    <xf numFmtId="0" fontId="3" fillId="8" borderId="53" xfId="0" applyFont="1" applyFill="1" applyBorder="1"/>
    <xf numFmtId="0" fontId="3" fillId="8" borderId="54" xfId="0" applyFont="1" applyFill="1" applyBorder="1"/>
    <xf numFmtId="0" fontId="0" fillId="0" borderId="21" xfId="0" applyBorder="1"/>
    <xf numFmtId="0" fontId="0" fillId="0" borderId="16" xfId="0" applyBorder="1"/>
    <xf numFmtId="0" fontId="0" fillId="0" borderId="49" xfId="0" applyBorder="1"/>
    <xf numFmtId="0" fontId="0" fillId="0" borderId="50" xfId="0" applyBorder="1"/>
    <xf numFmtId="0" fontId="0" fillId="0" borderId="56" xfId="0" applyBorder="1"/>
    <xf numFmtId="0" fontId="0" fillId="0" borderId="38" xfId="0" applyBorder="1"/>
    <xf numFmtId="0" fontId="0" fillId="0" borderId="37" xfId="0" applyBorder="1"/>
    <xf numFmtId="0" fontId="0" fillId="0" borderId="39" xfId="0" applyBorder="1"/>
    <xf numFmtId="0" fontId="3" fillId="0" borderId="1" xfId="0" applyFont="1" applyBorder="1" applyAlignment="1">
      <alignment horizontal="right"/>
    </xf>
    <xf numFmtId="9" fontId="0" fillId="0" borderId="1" xfId="1" applyFont="1" applyBorder="1"/>
    <xf numFmtId="167" fontId="0" fillId="0" borderId="21" xfId="1" applyNumberFormat="1" applyFont="1" applyBorder="1"/>
    <xf numFmtId="167" fontId="0" fillId="0" borderId="23" xfId="1" applyNumberFormat="1" applyFont="1" applyBorder="1"/>
    <xf numFmtId="167" fontId="0" fillId="0" borderId="16" xfId="1" applyNumberFormat="1" applyFont="1" applyBorder="1"/>
    <xf numFmtId="167" fontId="0" fillId="0" borderId="38" xfId="1" applyNumberFormat="1" applyFont="1" applyBorder="1"/>
    <xf numFmtId="167" fontId="0" fillId="0" borderId="37" xfId="1" applyNumberFormat="1" applyFont="1" applyBorder="1"/>
    <xf numFmtId="167" fontId="0" fillId="0" borderId="22" xfId="1" applyNumberFormat="1" applyFont="1" applyBorder="1"/>
    <xf numFmtId="167" fontId="0" fillId="0" borderId="17" xfId="1" applyNumberFormat="1" applyFont="1" applyBorder="1"/>
    <xf numFmtId="167" fontId="0" fillId="0" borderId="39" xfId="1" applyNumberFormat="1" applyFont="1" applyBorder="1"/>
    <xf numFmtId="167" fontId="0" fillId="0" borderId="49" xfId="1" applyNumberFormat="1" applyFont="1" applyBorder="1"/>
    <xf numFmtId="167" fontId="0" fillId="0" borderId="50" xfId="1" applyNumberFormat="1" applyFont="1" applyBorder="1"/>
    <xf numFmtId="167" fontId="0" fillId="0" borderId="56" xfId="1" applyNumberFormat="1" applyFont="1" applyBorder="1"/>
    <xf numFmtId="167" fontId="0" fillId="0" borderId="0" xfId="0" applyNumberFormat="1"/>
    <xf numFmtId="0" fontId="3" fillId="0" borderId="0" xfId="0" applyFont="1" applyBorder="1" applyAlignment="1">
      <alignment horizontal="center" vertical="center" textRotation="90" wrapText="1"/>
    </xf>
    <xf numFmtId="0" fontId="3" fillId="0" borderId="10" xfId="0" applyFont="1" applyBorder="1"/>
    <xf numFmtId="0" fontId="3" fillId="0" borderId="11" xfId="0" applyFont="1" applyBorder="1"/>
    <xf numFmtId="0" fontId="3" fillId="0" borderId="12" xfId="0" applyFont="1" applyBorder="1" applyAlignment="1">
      <alignment horizontal="right"/>
    </xf>
    <xf numFmtId="169" fontId="0" fillId="0" borderId="0" xfId="0" applyNumberFormat="1"/>
    <xf numFmtId="0" fontId="3" fillId="9" borderId="1" xfId="0" applyFont="1" applyFill="1" applyBorder="1"/>
    <xf numFmtId="169" fontId="0" fillId="0" borderId="0" xfId="0" applyNumberFormat="1" applyBorder="1"/>
    <xf numFmtId="0" fontId="3" fillId="4" borderId="2" xfId="0" applyFont="1" applyFill="1" applyBorder="1" applyAlignment="1">
      <alignment horizontal="left" wrapText="1"/>
    </xf>
    <xf numFmtId="0" fontId="3" fillId="4" borderId="3" xfId="0" applyFont="1" applyFill="1" applyBorder="1" applyAlignment="1">
      <alignment horizontal="left" wrapText="1"/>
    </xf>
    <xf numFmtId="0" fontId="3" fillId="4" borderId="4" xfId="0" applyFont="1" applyFill="1" applyBorder="1" applyAlignment="1">
      <alignment horizontal="left" wrapText="1"/>
    </xf>
    <xf numFmtId="0" fontId="0" fillId="4" borderId="5" xfId="0" applyFill="1" applyBorder="1" applyAlignment="1">
      <alignment horizontal="left" vertical="top" wrapText="1"/>
    </xf>
    <xf numFmtId="0" fontId="0" fillId="4" borderId="0" xfId="0" applyFill="1" applyBorder="1" applyAlignment="1">
      <alignment horizontal="left" vertical="top" wrapText="1"/>
    </xf>
    <xf numFmtId="0" fontId="0" fillId="4" borderId="6" xfId="0" applyFill="1" applyBorder="1" applyAlignment="1">
      <alignment horizontal="left" vertical="top" wrapText="1"/>
    </xf>
    <xf numFmtId="0" fontId="0" fillId="4" borderId="7" xfId="0" applyFill="1" applyBorder="1" applyAlignment="1">
      <alignment horizontal="left" vertical="top" wrapText="1"/>
    </xf>
    <xf numFmtId="0" fontId="0" fillId="4" borderId="8" xfId="0" applyFill="1" applyBorder="1" applyAlignment="1">
      <alignment horizontal="left" vertical="top" wrapText="1"/>
    </xf>
    <xf numFmtId="0" fontId="0" fillId="4" borderId="9" xfId="0" applyFill="1" applyBorder="1" applyAlignment="1">
      <alignment horizontal="left" vertical="top" wrapText="1"/>
    </xf>
    <xf numFmtId="0" fontId="2" fillId="3" borderId="1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 textRotation="90"/>
    </xf>
    <xf numFmtId="0" fontId="0" fillId="0" borderId="1" xfId="0" applyBorder="1" applyAlignment="1">
      <alignment horizontal="center" vertical="center" textRotation="90"/>
    </xf>
    <xf numFmtId="164" fontId="0" fillId="0" borderId="1" xfId="0" applyNumberFormat="1" applyBorder="1" applyAlignment="1">
      <alignment horizontal="center" vertical="center" textRotation="90"/>
    </xf>
    <xf numFmtId="4" fontId="2" fillId="3" borderId="1" xfId="0" applyNumberFormat="1" applyFont="1" applyFill="1" applyBorder="1" applyAlignment="1">
      <alignment horizontal="center"/>
    </xf>
    <xf numFmtId="14" fontId="2" fillId="3" borderId="1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10" fontId="0" fillId="0" borderId="1" xfId="0" applyNumberFormat="1" applyBorder="1" applyAlignment="1">
      <alignment horizontal="center" vertical="center" textRotation="90"/>
    </xf>
    <xf numFmtId="14" fontId="2" fillId="3" borderId="10" xfId="0" applyNumberFormat="1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10" fontId="0" fillId="2" borderId="1" xfId="0" applyNumberFormat="1" applyFill="1" applyBorder="1" applyAlignment="1">
      <alignment horizontal="center" vertical="center" textRotation="90"/>
    </xf>
    <xf numFmtId="0" fontId="0" fillId="2" borderId="1" xfId="0" applyFill="1" applyBorder="1" applyAlignment="1">
      <alignment horizontal="center" vertical="center" textRotation="90"/>
    </xf>
    <xf numFmtId="44" fontId="0" fillId="0" borderId="1" xfId="2" applyFont="1" applyBorder="1" applyAlignment="1">
      <alignment horizontal="center"/>
    </xf>
    <xf numFmtId="4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8" borderId="1" xfId="0" applyFont="1" applyFill="1" applyBorder="1" applyAlignment="1">
      <alignment horizontal="right"/>
    </xf>
    <xf numFmtId="0" fontId="3" fillId="8" borderId="1" xfId="0" applyFont="1" applyFill="1" applyBorder="1" applyAlignment="1">
      <alignment horizontal="center"/>
    </xf>
    <xf numFmtId="0" fontId="3" fillId="0" borderId="32" xfId="0" applyFont="1" applyBorder="1" applyAlignment="1">
      <alignment horizontal="center" vertical="center" textRotation="90" wrapText="1"/>
    </xf>
    <xf numFmtId="0" fontId="3" fillId="0" borderId="51" xfId="0" applyFont="1" applyBorder="1" applyAlignment="1">
      <alignment horizontal="center" vertical="center" textRotation="90" wrapText="1"/>
    </xf>
    <xf numFmtId="0" fontId="3" fillId="0" borderId="33" xfId="0" applyFont="1" applyBorder="1" applyAlignment="1">
      <alignment horizontal="center" vertical="center" textRotation="90" wrapText="1"/>
    </xf>
    <xf numFmtId="0" fontId="3" fillId="0" borderId="32" xfId="0" applyFont="1" applyBorder="1" applyAlignment="1">
      <alignment horizontal="center"/>
    </xf>
    <xf numFmtId="0" fontId="3" fillId="0" borderId="51" xfId="0" applyFont="1" applyBorder="1" applyAlignment="1">
      <alignment horizontal="center"/>
    </xf>
    <xf numFmtId="0" fontId="3" fillId="0" borderId="33" xfId="0" applyFont="1" applyBorder="1" applyAlignment="1">
      <alignment horizontal="center"/>
    </xf>
    <xf numFmtId="0" fontId="3" fillId="0" borderId="23" xfId="0" applyFont="1" applyBorder="1" applyAlignment="1">
      <alignment horizontal="right"/>
    </xf>
    <xf numFmtId="0" fontId="3" fillId="0" borderId="44" xfId="0" applyFont="1" applyBorder="1" applyAlignment="1">
      <alignment horizontal="right"/>
    </xf>
    <xf numFmtId="0" fontId="3" fillId="4" borderId="50" xfId="0" applyFont="1" applyFill="1" applyBorder="1" applyAlignment="1">
      <alignment horizontal="right"/>
    </xf>
    <xf numFmtId="0" fontId="3" fillId="4" borderId="55" xfId="0" applyFont="1" applyFill="1" applyBorder="1" applyAlignment="1">
      <alignment horizontal="right"/>
    </xf>
    <xf numFmtId="0" fontId="3" fillId="0" borderId="21" xfId="0" applyFont="1" applyBorder="1" applyAlignment="1">
      <alignment horizontal="center" vertical="center" textRotation="90" wrapText="1"/>
    </xf>
    <xf numFmtId="0" fontId="3" fillId="0" borderId="16" xfId="0" applyFont="1" applyBorder="1" applyAlignment="1">
      <alignment horizontal="center" vertical="center" textRotation="90" wrapText="1"/>
    </xf>
    <xf numFmtId="0" fontId="3" fillId="0" borderId="18" xfId="0" applyFont="1" applyBorder="1" applyAlignment="1">
      <alignment horizontal="center" vertical="center" textRotation="90" wrapText="1"/>
    </xf>
    <xf numFmtId="0" fontId="3" fillId="0" borderId="1" xfId="0" applyFont="1" applyBorder="1" applyAlignment="1">
      <alignment horizontal="right"/>
    </xf>
    <xf numFmtId="0" fontId="3" fillId="0" borderId="10" xfId="0" applyFont="1" applyBorder="1" applyAlignment="1">
      <alignment horizontal="right"/>
    </xf>
    <xf numFmtId="0" fontId="3" fillId="0" borderId="37" xfId="0" applyFont="1" applyBorder="1" applyAlignment="1">
      <alignment horizontal="right"/>
    </xf>
    <xf numFmtId="0" fontId="3" fillId="0" borderId="57" xfId="0" applyFont="1" applyBorder="1" applyAlignment="1">
      <alignment horizontal="right"/>
    </xf>
    <xf numFmtId="0" fontId="3" fillId="0" borderId="1" xfId="0" applyFont="1" applyBorder="1" applyAlignment="1">
      <alignment horizontal="center" vertical="center" textRotation="90" wrapText="1"/>
    </xf>
    <xf numFmtId="0" fontId="3" fillId="0" borderId="10" xfId="0" applyFont="1" applyBorder="1" applyAlignment="1">
      <alignment horizontal="center" vertical="center" textRotation="90" wrapText="1"/>
    </xf>
    <xf numFmtId="0" fontId="2" fillId="3" borderId="25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24" xfId="0" applyFont="1" applyFill="1" applyBorder="1" applyAlignment="1">
      <alignment horizontal="center"/>
    </xf>
    <xf numFmtId="0" fontId="2" fillId="3" borderId="26" xfId="0" applyFont="1" applyFill="1" applyBorder="1" applyAlignment="1">
      <alignment horizontal="center"/>
    </xf>
    <xf numFmtId="169" fontId="0" fillId="4" borderId="1" xfId="0" applyNumberFormat="1" applyFill="1" applyBorder="1" applyAlignment="1">
      <alignment horizontal="center"/>
    </xf>
    <xf numFmtId="169" fontId="0" fillId="4" borderId="19" xfId="0" applyNumberFormat="1" applyFill="1" applyBorder="1" applyAlignment="1">
      <alignment horizontal="center"/>
    </xf>
    <xf numFmtId="0" fontId="3" fillId="9" borderId="16" xfId="0" applyFont="1" applyFill="1" applyBorder="1" applyAlignment="1"/>
    <xf numFmtId="0" fontId="3" fillId="9" borderId="1" xfId="0" applyFont="1" applyFill="1" applyBorder="1" applyAlignment="1"/>
    <xf numFmtId="3" fontId="0" fillId="0" borderId="1" xfId="0" applyNumberFormat="1" applyFill="1" applyBorder="1" applyAlignment="1">
      <alignment horizontal="right"/>
    </xf>
    <xf numFmtId="3" fontId="0" fillId="0" borderId="17" xfId="0" applyNumberFormat="1" applyFill="1" applyBorder="1" applyAlignment="1">
      <alignment horizontal="right"/>
    </xf>
    <xf numFmtId="167" fontId="0" fillId="0" borderId="1" xfId="1" applyNumberFormat="1" applyFont="1" applyFill="1" applyBorder="1" applyAlignment="1">
      <alignment horizontal="right"/>
    </xf>
    <xf numFmtId="167" fontId="0" fillId="0" borderId="17" xfId="1" applyNumberFormat="1" applyFont="1" applyFill="1" applyBorder="1" applyAlignment="1">
      <alignment horizontal="right"/>
    </xf>
    <xf numFmtId="0" fontId="3" fillId="9" borderId="21" xfId="0" applyFont="1" applyFill="1" applyBorder="1" applyAlignment="1">
      <alignment horizontal="center"/>
    </xf>
    <xf numFmtId="0" fontId="3" fillId="9" borderId="22" xfId="0" applyFont="1" applyFill="1" applyBorder="1" applyAlignment="1">
      <alignment horizontal="center"/>
    </xf>
    <xf numFmtId="166" fontId="0" fillId="0" borderId="1" xfId="3" applyNumberFormat="1" applyFont="1" applyFill="1" applyBorder="1" applyAlignment="1">
      <alignment horizontal="right"/>
    </xf>
    <xf numFmtId="166" fontId="0" fillId="0" borderId="17" xfId="3" applyNumberFormat="1" applyFont="1" applyFill="1" applyBorder="1" applyAlignment="1">
      <alignment horizontal="right"/>
    </xf>
    <xf numFmtId="0" fontId="3" fillId="9" borderId="18" xfId="0" applyFont="1" applyFill="1" applyBorder="1" applyAlignment="1"/>
    <xf numFmtId="0" fontId="3" fillId="9" borderId="19" xfId="0" applyFont="1" applyFill="1" applyBorder="1" applyAlignment="1"/>
    <xf numFmtId="167" fontId="0" fillId="0" borderId="19" xfId="1" applyNumberFormat="1" applyFont="1" applyFill="1" applyBorder="1" applyAlignment="1">
      <alignment horizontal="right"/>
    </xf>
    <xf numFmtId="167" fontId="0" fillId="0" borderId="20" xfId="1" applyNumberFormat="1" applyFont="1" applyFill="1" applyBorder="1" applyAlignment="1">
      <alignment horizontal="right"/>
    </xf>
    <xf numFmtId="1" fontId="0" fillId="0" borderId="1" xfId="0" applyNumberFormat="1" applyFill="1" applyBorder="1" applyAlignment="1">
      <alignment horizontal="right"/>
    </xf>
    <xf numFmtId="1" fontId="0" fillId="0" borderId="17" xfId="0" applyNumberFormat="1" applyFill="1" applyBorder="1" applyAlignment="1">
      <alignment horizontal="right"/>
    </xf>
    <xf numFmtId="9" fontId="0" fillId="0" borderId="1" xfId="1" applyFont="1" applyFill="1" applyBorder="1" applyAlignment="1">
      <alignment horizontal="right"/>
    </xf>
    <xf numFmtId="9" fontId="0" fillId="0" borderId="17" xfId="1" applyFont="1" applyFill="1" applyBorder="1" applyAlignment="1">
      <alignment horizontal="right"/>
    </xf>
    <xf numFmtId="0" fontId="3" fillId="8" borderId="16" xfId="0" applyFont="1" applyFill="1" applyBorder="1" applyAlignment="1">
      <alignment horizontal="left"/>
    </xf>
    <xf numFmtId="0" fontId="3" fillId="8" borderId="1" xfId="0" applyFont="1" applyFill="1" applyBorder="1" applyAlignment="1">
      <alignment horizontal="left"/>
    </xf>
    <xf numFmtId="169" fontId="0" fillId="4" borderId="1" xfId="0" applyNumberFormat="1" applyFill="1" applyBorder="1" applyAlignment="1">
      <alignment horizontal="left"/>
    </xf>
    <xf numFmtId="169" fontId="0" fillId="4" borderId="17" xfId="0" applyNumberFormat="1" applyFill="1" applyBorder="1" applyAlignment="1">
      <alignment horizontal="left"/>
    </xf>
    <xf numFmtId="0" fontId="3" fillId="8" borderId="18" xfId="0" applyFont="1" applyFill="1" applyBorder="1" applyAlignment="1">
      <alignment horizontal="left"/>
    </xf>
    <xf numFmtId="0" fontId="3" fillId="8" borderId="19" xfId="0" applyFont="1" applyFill="1" applyBorder="1" applyAlignment="1">
      <alignment horizontal="left"/>
    </xf>
    <xf numFmtId="169" fontId="0" fillId="4" borderId="19" xfId="0" applyNumberFormat="1" applyFill="1" applyBorder="1" applyAlignment="1">
      <alignment horizontal="left"/>
    </xf>
    <xf numFmtId="169" fontId="0" fillId="4" borderId="20" xfId="0" applyNumberFormat="1" applyFill="1" applyBorder="1" applyAlignment="1">
      <alignment horizontal="left"/>
    </xf>
    <xf numFmtId="0" fontId="3" fillId="8" borderId="21" xfId="0" applyFont="1" applyFill="1" applyBorder="1" applyAlignment="1">
      <alignment horizontal="center"/>
    </xf>
    <xf numFmtId="0" fontId="3" fillId="8" borderId="23" xfId="0" applyFont="1" applyFill="1" applyBorder="1" applyAlignment="1">
      <alignment horizontal="center"/>
    </xf>
    <xf numFmtId="0" fontId="3" fillId="8" borderId="22" xfId="0" applyFont="1" applyFill="1" applyBorder="1" applyAlignment="1">
      <alignment horizontal="center"/>
    </xf>
    <xf numFmtId="169" fontId="0" fillId="4" borderId="37" xfId="0" applyNumberFormat="1" applyFill="1" applyBorder="1" applyAlignment="1">
      <alignment horizontal="center"/>
    </xf>
    <xf numFmtId="169" fontId="0" fillId="4" borderId="7" xfId="0" applyNumberFormat="1" applyFill="1" applyBorder="1" applyAlignment="1">
      <alignment horizontal="center"/>
    </xf>
    <xf numFmtId="169" fontId="0" fillId="4" borderId="9" xfId="0" applyNumberFormat="1" applyFill="1" applyBorder="1" applyAlignment="1">
      <alignment horizontal="center"/>
    </xf>
    <xf numFmtId="0" fontId="5" fillId="3" borderId="34" xfId="0" applyFont="1" applyFill="1" applyBorder="1" applyAlignment="1">
      <alignment horizontal="center" vertical="center"/>
    </xf>
    <xf numFmtId="0" fontId="5" fillId="3" borderId="35" xfId="0" applyFont="1" applyFill="1" applyBorder="1" applyAlignment="1">
      <alignment horizontal="center" vertical="center"/>
    </xf>
    <xf numFmtId="0" fontId="5" fillId="3" borderId="36" xfId="0" applyFont="1" applyFill="1" applyBorder="1" applyAlignment="1">
      <alignment horizontal="center" vertical="center"/>
    </xf>
    <xf numFmtId="0" fontId="3" fillId="8" borderId="13" xfId="0" applyFont="1" applyFill="1" applyBorder="1" applyAlignment="1">
      <alignment horizontal="center"/>
    </xf>
    <xf numFmtId="0" fontId="3" fillId="8" borderId="14" xfId="0" applyFont="1" applyFill="1" applyBorder="1" applyAlignment="1">
      <alignment horizontal="center"/>
    </xf>
    <xf numFmtId="0" fontId="3" fillId="8" borderId="15" xfId="0" applyFont="1" applyFill="1" applyBorder="1" applyAlignment="1">
      <alignment horizontal="center"/>
    </xf>
    <xf numFmtId="0" fontId="3" fillId="9" borderId="23" xfId="0" applyFont="1" applyFill="1" applyBorder="1" applyAlignment="1">
      <alignment horizontal="center"/>
    </xf>
    <xf numFmtId="0" fontId="3" fillId="0" borderId="1" xfId="0" applyFont="1" applyFill="1" applyBorder="1" applyAlignment="1">
      <alignment vertical="center" textRotation="90"/>
    </xf>
  </cellXfs>
  <cellStyles count="4">
    <cellStyle name="Komma" xfId="3" builtinId="3"/>
    <cellStyle name="Prozent" xfId="1" builtinId="5"/>
    <cellStyle name="Standard" xfId="0" builtinId="0"/>
    <cellStyle name="Währung" xfId="2" builtinId="4"/>
  </cellStyles>
  <dxfs count="73">
    <dxf>
      <font>
        <color auto="1"/>
      </font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theme="4" tint="0.79998168889431442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Diagramme!$A$2</c:f>
              <c:strCache>
                <c:ptCount val="1"/>
                <c:pt idx="0">
                  <c:v>Eigenkapitalquote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rgbClr val="0070C0"/>
                </a:solidFill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</c:dPt>
          <c:cat>
            <c:strRef>
              <c:f>Diagramme!$B$1:$Q$1</c:f>
              <c:strCache>
                <c:ptCount val="10"/>
                <c:pt idx="0">
                  <c:v>Aktuell</c:v>
                </c:pt>
                <c:pt idx="1">
                  <c:v>Ausgangspunkt</c:v>
                </c:pt>
                <c:pt idx="2">
                  <c:v>1. Periode</c:v>
                </c:pt>
                <c:pt idx="3">
                  <c:v>2. Periode</c:v>
                </c:pt>
                <c:pt idx="4">
                  <c:v>3. Periode</c:v>
                </c:pt>
                <c:pt idx="5">
                  <c:v>4. Periode</c:v>
                </c:pt>
                <c:pt idx="6">
                  <c:v>5. Periode</c:v>
                </c:pt>
                <c:pt idx="7">
                  <c:v>6. Periode</c:v>
                </c:pt>
                <c:pt idx="8">
                  <c:v>7. Periode</c:v>
                </c:pt>
                <c:pt idx="9">
                  <c:v>8. Periode</c:v>
                </c:pt>
              </c:strCache>
            </c:strRef>
          </c:cat>
          <c:val>
            <c:numRef>
              <c:f>Diagramme!$B$2:$Q$2</c:f>
              <c:numCache>
                <c:formatCode>0.00%</c:formatCode>
                <c:ptCount val="16"/>
                <c:pt idx="0">
                  <c:v>6.9660503428498971E-2</c:v>
                </c:pt>
                <c:pt idx="1">
                  <c:v>9.6500183770980519E-2</c:v>
                </c:pt>
                <c:pt idx="2">
                  <c:v>8.9482849050666113E-2</c:v>
                </c:pt>
                <c:pt idx="3">
                  <c:v>8.0135966377198845E-2</c:v>
                </c:pt>
                <c:pt idx="4">
                  <c:v>6.9015564786547218E-2</c:v>
                </c:pt>
                <c:pt idx="5">
                  <c:v>5.9488088500678063E-2</c:v>
                </c:pt>
                <c:pt idx="6">
                  <c:v>5.0645095532458627E-2</c:v>
                </c:pt>
                <c:pt idx="7">
                  <c:v>5.152836688330012E-2</c:v>
                </c:pt>
                <c:pt idx="8">
                  <c:v>5.8023601254332396E-2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219352"/>
        <c:axId val="421225232"/>
      </c:lineChart>
      <c:catAx>
        <c:axId val="421219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21225232"/>
        <c:crosses val="autoZero"/>
        <c:auto val="1"/>
        <c:lblAlgn val="ctr"/>
        <c:lblOffset val="100"/>
        <c:noMultiLvlLbl val="0"/>
      </c:catAx>
      <c:valAx>
        <c:axId val="421225232"/>
        <c:scaling>
          <c:orientation val="minMax"/>
          <c:max val="0.15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21219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Diagramme!$A$21</c:f>
              <c:strCache>
                <c:ptCount val="1"/>
                <c:pt idx="0">
                  <c:v>Employees IT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Diagramme!$B$1:$Q$1</c:f>
              <c:strCache>
                <c:ptCount val="10"/>
                <c:pt idx="0">
                  <c:v>Aktuell</c:v>
                </c:pt>
                <c:pt idx="1">
                  <c:v>Ausgangspunkt</c:v>
                </c:pt>
                <c:pt idx="2">
                  <c:v>1. Periode</c:v>
                </c:pt>
                <c:pt idx="3">
                  <c:v>2. Periode</c:v>
                </c:pt>
                <c:pt idx="4">
                  <c:v>3. Periode</c:v>
                </c:pt>
                <c:pt idx="5">
                  <c:v>4. Periode</c:v>
                </c:pt>
                <c:pt idx="6">
                  <c:v>5. Periode</c:v>
                </c:pt>
                <c:pt idx="7">
                  <c:v>6. Periode</c:v>
                </c:pt>
                <c:pt idx="8">
                  <c:v>7. Periode</c:v>
                </c:pt>
                <c:pt idx="9">
                  <c:v>8. Periode</c:v>
                </c:pt>
              </c:strCache>
            </c:strRef>
          </c:cat>
          <c:val>
            <c:numRef>
              <c:f>Diagramme!$B$21:$Q$21</c:f>
              <c:numCache>
                <c:formatCode>General</c:formatCode>
                <c:ptCount val="16"/>
                <c:pt idx="0">
                  <c:v>70.38</c:v>
                </c:pt>
                <c:pt idx="1">
                  <c:v>98.750000000000014</c:v>
                </c:pt>
                <c:pt idx="2">
                  <c:v>97.929999999999993</c:v>
                </c:pt>
                <c:pt idx="3">
                  <c:v>115.94</c:v>
                </c:pt>
                <c:pt idx="4">
                  <c:v>149.69000000000003</c:v>
                </c:pt>
                <c:pt idx="5">
                  <c:v>186.23</c:v>
                </c:pt>
                <c:pt idx="6">
                  <c:v>192.75</c:v>
                </c:pt>
                <c:pt idx="7">
                  <c:v>132.56</c:v>
                </c:pt>
                <c:pt idx="8">
                  <c:v>101.88999999999999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"/>
          <c:order val="1"/>
          <c:tx>
            <c:strRef>
              <c:f>Diagramme!$A$22</c:f>
              <c:strCache>
                <c:ptCount val="1"/>
                <c:pt idx="0">
                  <c:v>Employees Internal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Diagramme!$B$1:$Q$1</c:f>
              <c:strCache>
                <c:ptCount val="10"/>
                <c:pt idx="0">
                  <c:v>Aktuell</c:v>
                </c:pt>
                <c:pt idx="1">
                  <c:v>Ausgangspunkt</c:v>
                </c:pt>
                <c:pt idx="2">
                  <c:v>1. Periode</c:v>
                </c:pt>
                <c:pt idx="3">
                  <c:v>2. Periode</c:v>
                </c:pt>
                <c:pt idx="4">
                  <c:v>3. Periode</c:v>
                </c:pt>
                <c:pt idx="5">
                  <c:v>4. Periode</c:v>
                </c:pt>
                <c:pt idx="6">
                  <c:v>5. Periode</c:v>
                </c:pt>
                <c:pt idx="7">
                  <c:v>6. Periode</c:v>
                </c:pt>
                <c:pt idx="8">
                  <c:v>7. Periode</c:v>
                </c:pt>
                <c:pt idx="9">
                  <c:v>8. Periode</c:v>
                </c:pt>
              </c:strCache>
            </c:strRef>
          </c:cat>
          <c:val>
            <c:numRef>
              <c:f>Diagramme!$B$22:$Q$22</c:f>
              <c:numCache>
                <c:formatCode>General</c:formatCode>
                <c:ptCount val="16"/>
                <c:pt idx="0">
                  <c:v>540</c:v>
                </c:pt>
                <c:pt idx="1">
                  <c:v>175.85000000000002</c:v>
                </c:pt>
                <c:pt idx="2">
                  <c:v>174.60000000000002</c:v>
                </c:pt>
                <c:pt idx="3">
                  <c:v>173.26</c:v>
                </c:pt>
                <c:pt idx="4">
                  <c:v>216.62</c:v>
                </c:pt>
                <c:pt idx="5">
                  <c:v>226.87</c:v>
                </c:pt>
                <c:pt idx="6">
                  <c:v>233.14</c:v>
                </c:pt>
                <c:pt idx="7">
                  <c:v>232.47</c:v>
                </c:pt>
                <c:pt idx="8">
                  <c:v>554.31999999999994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2"/>
          <c:order val="2"/>
          <c:tx>
            <c:strRef>
              <c:f>Diagramme!$A$23</c:f>
              <c:strCache>
                <c:ptCount val="1"/>
                <c:pt idx="0">
                  <c:v>Employees External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;[Red]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Diagramme!$B$1:$Q$1</c:f>
              <c:strCache>
                <c:ptCount val="10"/>
                <c:pt idx="0">
                  <c:v>Aktuell</c:v>
                </c:pt>
                <c:pt idx="1">
                  <c:v>Ausgangspunkt</c:v>
                </c:pt>
                <c:pt idx="2">
                  <c:v>1. Periode</c:v>
                </c:pt>
                <c:pt idx="3">
                  <c:v>2. Periode</c:v>
                </c:pt>
                <c:pt idx="4">
                  <c:v>3. Periode</c:v>
                </c:pt>
                <c:pt idx="5">
                  <c:v>4. Periode</c:v>
                </c:pt>
                <c:pt idx="6">
                  <c:v>5. Periode</c:v>
                </c:pt>
                <c:pt idx="7">
                  <c:v>6. Periode</c:v>
                </c:pt>
                <c:pt idx="8">
                  <c:v>7. Periode</c:v>
                </c:pt>
                <c:pt idx="9">
                  <c:v>8. Periode</c:v>
                </c:pt>
              </c:strCache>
            </c:strRef>
          </c:cat>
          <c:val>
            <c:numRef>
              <c:f>Diagramme!$B$23:$Q$23</c:f>
              <c:numCache>
                <c:formatCode>General</c:formatCode>
                <c:ptCount val="16"/>
                <c:pt idx="0">
                  <c:v>944.82</c:v>
                </c:pt>
                <c:pt idx="1">
                  <c:v>229.11999999999998</c:v>
                </c:pt>
                <c:pt idx="2">
                  <c:v>221.54</c:v>
                </c:pt>
                <c:pt idx="3">
                  <c:v>214.50000000000003</c:v>
                </c:pt>
                <c:pt idx="4">
                  <c:v>296.14000000000004</c:v>
                </c:pt>
                <c:pt idx="5">
                  <c:v>305.39999999999998</c:v>
                </c:pt>
                <c:pt idx="6">
                  <c:v>310.72000000000003</c:v>
                </c:pt>
                <c:pt idx="7">
                  <c:v>342.04999999999995</c:v>
                </c:pt>
                <c:pt idx="8">
                  <c:v>961.62999999999988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"/>
        <c:overlap val="100"/>
        <c:axId val="421217784"/>
        <c:axId val="421225624"/>
      </c:barChart>
      <c:catAx>
        <c:axId val="42121778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21225624"/>
        <c:crosses val="autoZero"/>
        <c:auto val="1"/>
        <c:lblAlgn val="ctr"/>
        <c:lblOffset val="100"/>
        <c:noMultiLvlLbl val="0"/>
      </c:catAx>
      <c:valAx>
        <c:axId val="421225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21217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Diagramme!$A$24</c:f>
              <c:strCache>
                <c:ptCount val="1"/>
                <c:pt idx="0">
                  <c:v>Net income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</c:dPt>
          <c:cat>
            <c:strRef>
              <c:f>Diagramme!$B$1:$Q$1</c:f>
              <c:strCache>
                <c:ptCount val="10"/>
                <c:pt idx="0">
                  <c:v>Aktuell</c:v>
                </c:pt>
                <c:pt idx="1">
                  <c:v>Ausgangspunkt</c:v>
                </c:pt>
                <c:pt idx="2">
                  <c:v>1. Periode</c:v>
                </c:pt>
                <c:pt idx="3">
                  <c:v>2. Periode</c:v>
                </c:pt>
                <c:pt idx="4">
                  <c:v>3. Periode</c:v>
                </c:pt>
                <c:pt idx="5">
                  <c:v>4. Periode</c:v>
                </c:pt>
                <c:pt idx="6">
                  <c:v>5. Periode</c:v>
                </c:pt>
                <c:pt idx="7">
                  <c:v>6. Periode</c:v>
                </c:pt>
                <c:pt idx="8">
                  <c:v>7. Periode</c:v>
                </c:pt>
                <c:pt idx="9">
                  <c:v>8. Periode</c:v>
                </c:pt>
              </c:strCache>
            </c:strRef>
          </c:cat>
          <c:val>
            <c:numRef>
              <c:f>Diagramme!$B$24:$Q$24</c:f>
              <c:numCache>
                <c:formatCode>[$$-409]#,##0_ ;[Red]\-[$$-409]#,##0\ </c:formatCode>
                <c:ptCount val="16"/>
                <c:pt idx="0">
                  <c:v>267362801.40000001</c:v>
                </c:pt>
                <c:pt idx="1">
                  <c:v>-27188943.465</c:v>
                </c:pt>
                <c:pt idx="2">
                  <c:v>5661406.7340000002</c:v>
                </c:pt>
                <c:pt idx="3">
                  <c:v>13422382.1</c:v>
                </c:pt>
                <c:pt idx="4">
                  <c:v>21654833.449999999</c:v>
                </c:pt>
                <c:pt idx="5">
                  <c:v>54599436.975000001</c:v>
                </c:pt>
                <c:pt idx="6">
                  <c:v>18709185.903999999</c:v>
                </c:pt>
                <c:pt idx="7">
                  <c:v>90047824.450000003</c:v>
                </c:pt>
                <c:pt idx="8">
                  <c:v>232512052.65799999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222880"/>
        <c:axId val="421226016"/>
      </c:lineChart>
      <c:catAx>
        <c:axId val="421222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21226016"/>
        <c:crossesAt val="-30000000"/>
        <c:auto val="1"/>
        <c:lblAlgn val="ctr"/>
        <c:lblOffset val="100"/>
        <c:noMultiLvlLbl val="0"/>
      </c:catAx>
      <c:valAx>
        <c:axId val="42122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_ ;[Red]\-[$$-409]#,##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21222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Diagramme!$A$36</c:f>
              <c:strCache>
                <c:ptCount val="1"/>
                <c:pt idx="0">
                  <c:v>Employees Satisfaction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</c:dPt>
          <c:cat>
            <c:strRef>
              <c:f>Diagramme!$B$1:$Q$1</c:f>
              <c:strCache>
                <c:ptCount val="10"/>
                <c:pt idx="0">
                  <c:v>Aktuell</c:v>
                </c:pt>
                <c:pt idx="1">
                  <c:v>Ausgangspunkt</c:v>
                </c:pt>
                <c:pt idx="2">
                  <c:v>1. Periode</c:v>
                </c:pt>
                <c:pt idx="3">
                  <c:v>2. Periode</c:v>
                </c:pt>
                <c:pt idx="4">
                  <c:v>3. Periode</c:v>
                </c:pt>
                <c:pt idx="5">
                  <c:v>4. Periode</c:v>
                </c:pt>
                <c:pt idx="6">
                  <c:v>5. Periode</c:v>
                </c:pt>
                <c:pt idx="7">
                  <c:v>6. Periode</c:v>
                </c:pt>
                <c:pt idx="8">
                  <c:v>7. Periode</c:v>
                </c:pt>
                <c:pt idx="9">
                  <c:v>8. Periode</c:v>
                </c:pt>
              </c:strCache>
            </c:strRef>
          </c:cat>
          <c:val>
            <c:numRef>
              <c:f>Diagramme!$B$36:$Q$36</c:f>
              <c:numCache>
                <c:formatCode>0.00%</c:formatCode>
                <c:ptCount val="16"/>
                <c:pt idx="0">
                  <c:v>0.59163129386672575</c:v>
                </c:pt>
                <c:pt idx="1">
                  <c:v>0.77462578084084133</c:v>
                </c:pt>
                <c:pt idx="2">
                  <c:v>0.71146299643787536</c:v>
                </c:pt>
                <c:pt idx="3">
                  <c:v>0.67415332867531341</c:v>
                </c:pt>
                <c:pt idx="4">
                  <c:v>0.68380229184705821</c:v>
                </c:pt>
                <c:pt idx="5">
                  <c:v>0.65621979696481858</c:v>
                </c:pt>
                <c:pt idx="6">
                  <c:v>0.65588756882191002</c:v>
                </c:pt>
                <c:pt idx="7">
                  <c:v>0.64133703395177222</c:v>
                </c:pt>
                <c:pt idx="8">
                  <c:v>0.61014323037316642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Diagramme!$A$37</c:f>
              <c:strCache>
                <c:ptCount val="1"/>
                <c:pt idx="0">
                  <c:v>Customer Satisfaction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</c:dPt>
          <c:val>
            <c:numRef>
              <c:f>Diagramme!$B$37:$Q$37</c:f>
              <c:numCache>
                <c:formatCode>0.00%</c:formatCode>
                <c:ptCount val="16"/>
                <c:pt idx="0">
                  <c:v>0.97</c:v>
                </c:pt>
                <c:pt idx="1">
                  <c:v>0.83240000000000003</c:v>
                </c:pt>
                <c:pt idx="2">
                  <c:v>0.84799999999999998</c:v>
                </c:pt>
                <c:pt idx="3">
                  <c:v>0.85370000000000001</c:v>
                </c:pt>
                <c:pt idx="4">
                  <c:v>0.87919999999999998</c:v>
                </c:pt>
                <c:pt idx="5">
                  <c:v>0.92669999999999997</c:v>
                </c:pt>
                <c:pt idx="6">
                  <c:v>0.96140000000000003</c:v>
                </c:pt>
                <c:pt idx="7">
                  <c:v>0.97</c:v>
                </c:pt>
                <c:pt idx="8">
                  <c:v>0.97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218176"/>
        <c:axId val="421218960"/>
      </c:lineChart>
      <c:catAx>
        <c:axId val="42121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21218960"/>
        <c:crosses val="autoZero"/>
        <c:auto val="1"/>
        <c:lblAlgn val="ctr"/>
        <c:lblOffset val="100"/>
        <c:noMultiLvlLbl val="0"/>
      </c:catAx>
      <c:valAx>
        <c:axId val="42121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2121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Diagramme!$A$38</c:f>
              <c:strCache>
                <c:ptCount val="1"/>
                <c:pt idx="0">
                  <c:v>Current Assets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Diagramme!$B$1:$Q$1</c:f>
              <c:strCache>
                <c:ptCount val="10"/>
                <c:pt idx="0">
                  <c:v>Aktuell</c:v>
                </c:pt>
                <c:pt idx="1">
                  <c:v>Ausgangspunkt</c:v>
                </c:pt>
                <c:pt idx="2">
                  <c:v>1. Periode</c:v>
                </c:pt>
                <c:pt idx="3">
                  <c:v>2. Periode</c:v>
                </c:pt>
                <c:pt idx="4">
                  <c:v>3. Periode</c:v>
                </c:pt>
                <c:pt idx="5">
                  <c:v>4. Periode</c:v>
                </c:pt>
                <c:pt idx="6">
                  <c:v>5. Periode</c:v>
                </c:pt>
                <c:pt idx="7">
                  <c:v>6. Periode</c:v>
                </c:pt>
                <c:pt idx="8">
                  <c:v>7. Periode</c:v>
                </c:pt>
                <c:pt idx="9">
                  <c:v>8. Periode</c:v>
                </c:pt>
              </c:strCache>
            </c:strRef>
          </c:cat>
          <c:val>
            <c:numRef>
              <c:f>Diagramme!$B$38:$Q$38</c:f>
              <c:numCache>
                <c:formatCode>_-[$$-409]* #,##0_ ;_-[$$-409]* \-#,##0\ ;_-[$$-409]* "-"??_ ;_-@_ </c:formatCode>
                <c:ptCount val="16"/>
                <c:pt idx="0">
                  <c:v>14433430000</c:v>
                </c:pt>
                <c:pt idx="1">
                  <c:v>2973830000</c:v>
                </c:pt>
                <c:pt idx="2">
                  <c:v>2633250000</c:v>
                </c:pt>
                <c:pt idx="3">
                  <c:v>3043590000</c:v>
                </c:pt>
                <c:pt idx="4">
                  <c:v>3896390000</c:v>
                </c:pt>
                <c:pt idx="5">
                  <c:v>5618940000</c:v>
                </c:pt>
                <c:pt idx="6">
                  <c:v>11420060000</c:v>
                </c:pt>
                <c:pt idx="7">
                  <c:v>11364330000</c:v>
                </c:pt>
                <c:pt idx="8">
                  <c:v>12137520000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Diagramme!$A$39</c:f>
              <c:strCache>
                <c:ptCount val="1"/>
                <c:pt idx="0">
                  <c:v>Short-/Medium-Term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Diagramme!$B$39:$I$39</c:f>
              <c:numCache>
                <c:formatCode>_-[$$-409]* #,##0_ ;_-[$$-409]* \-#,##0\ ;_-[$$-409]* "-"??_ ;_-@_ </c:formatCode>
                <c:ptCount val="8"/>
                <c:pt idx="0">
                  <c:v>0</c:v>
                </c:pt>
                <c:pt idx="1">
                  <c:v>805000000</c:v>
                </c:pt>
                <c:pt idx="2">
                  <c:v>300000000</c:v>
                </c:pt>
                <c:pt idx="3">
                  <c:v>219340000</c:v>
                </c:pt>
                <c:pt idx="4">
                  <c:v>100000000</c:v>
                </c:pt>
                <c:pt idx="5">
                  <c:v>0</c:v>
                </c:pt>
                <c:pt idx="6">
                  <c:v>4012630000</c:v>
                </c:pt>
                <c:pt idx="7">
                  <c:v>2327560000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Diagramme!$A$40</c:f>
              <c:strCache>
                <c:ptCount val="1"/>
                <c:pt idx="0">
                  <c:v>Cash Reserves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Diagramme!$B$40:$Q$40</c:f>
              <c:numCache>
                <c:formatCode>_-[$$-409]* #,##0_ ;_-[$$-409]* \-#,##0\ ;_-[$$-409]* "-"??_ ;_-@_ 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19340000</c:v>
                </c:pt>
                <c:pt idx="4">
                  <c:v>0</c:v>
                </c:pt>
                <c:pt idx="5">
                  <c:v>0</c:v>
                </c:pt>
                <c:pt idx="6">
                  <c:v>4012630000</c:v>
                </c:pt>
                <c:pt idx="7">
                  <c:v>2327560000</c:v>
                </c:pt>
                <c:pt idx="8">
                  <c:v>19520000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Diagramme!$A$41</c:f>
              <c:strCache>
                <c:ptCount val="1"/>
                <c:pt idx="0">
                  <c:v>T-Bill Securities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Diagramme!$B$41:$Q$41</c:f>
              <c:numCache>
                <c:formatCode>_-[$$-409]* #,##0_ ;_-[$$-409]* \-#,##0\ ;_-[$$-409]* "-"??_ ;_-@_ </c:formatCode>
                <c:ptCount val="16"/>
                <c:pt idx="0">
                  <c:v>0</c:v>
                </c:pt>
                <c:pt idx="1">
                  <c:v>277500000</c:v>
                </c:pt>
                <c:pt idx="2">
                  <c:v>200000000</c:v>
                </c:pt>
                <c:pt idx="3">
                  <c:v>100000000</c:v>
                </c:pt>
                <c:pt idx="4">
                  <c:v>100000000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Diagramme!$A$42</c:f>
              <c:strCache>
                <c:ptCount val="1"/>
                <c:pt idx="0">
                  <c:v>T-Bond Securities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Diagramme!$B$42:$Q$42</c:f>
              <c:numCache>
                <c:formatCode>_-[$$-409]* #,##0_ ;_-[$$-409]* \-#,##0\ ;_-[$$-409]* "-"??_ ;_-@_ </c:formatCode>
                <c:ptCount val="16"/>
                <c:pt idx="0">
                  <c:v>0</c:v>
                </c:pt>
                <c:pt idx="1">
                  <c:v>277500000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Diagramme!$A$43</c:f>
              <c:strCache>
                <c:ptCount val="1"/>
                <c:pt idx="0">
                  <c:v>Reverse Repurchase Agreements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Diagramme!$B$43:$Q$43</c:f>
              <c:numCache>
                <c:formatCode>_-[$$-409]* #,##0_ ;_-[$$-409]* \-#,##0\ ;_-[$$-409]* "-"??_ ;_-@_ </c:formatCode>
                <c:ptCount val="16"/>
                <c:pt idx="0">
                  <c:v>0</c:v>
                </c:pt>
                <c:pt idx="1">
                  <c:v>250000000</c:v>
                </c:pt>
                <c:pt idx="2">
                  <c:v>100000000</c:v>
                </c:pt>
                <c:pt idx="3">
                  <c:v>100000000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Diagramme!$A$44</c:f>
              <c:strCache>
                <c:ptCount val="1"/>
                <c:pt idx="0">
                  <c:v>Long-Term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Diagramme!$B$44:$Q$44</c:f>
              <c:numCache>
                <c:formatCode>_-[$$-409]* #,##0_ ;_-[$$-409]* \-#,##0\ ;_-[$$-409]* "-"??_ ;_-@_ </c:formatCode>
                <c:ptCount val="16"/>
                <c:pt idx="0">
                  <c:v>14433430000</c:v>
                </c:pt>
                <c:pt idx="1">
                  <c:v>2168830000</c:v>
                </c:pt>
                <c:pt idx="2">
                  <c:v>2333250000</c:v>
                </c:pt>
                <c:pt idx="3">
                  <c:v>2824240000</c:v>
                </c:pt>
                <c:pt idx="4">
                  <c:v>3796390000</c:v>
                </c:pt>
                <c:pt idx="5">
                  <c:v>5618940000</c:v>
                </c:pt>
                <c:pt idx="6">
                  <c:v>7407430000</c:v>
                </c:pt>
                <c:pt idx="7">
                  <c:v>9036770000</c:v>
                </c:pt>
                <c:pt idx="8">
                  <c:v>12118000000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Diagramme!$A$45</c:f>
              <c:strCache>
                <c:ptCount val="1"/>
                <c:pt idx="0">
                  <c:v>Bank Loans Assets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Diagramme!$B$45:$Q$45</c:f>
              <c:numCache>
                <c:formatCode>_-[$$-409]* #,##0_ ;_-[$$-409]* \-#,##0\ ;_-[$$-409]* "-"??_ ;_-@_ </c:formatCode>
                <c:ptCount val="16"/>
                <c:pt idx="0">
                  <c:v>0</c:v>
                </c:pt>
                <c:pt idx="1">
                  <c:v>360000000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Diagramme!$A$46</c:f>
              <c:strCache>
                <c:ptCount val="1"/>
                <c:pt idx="0">
                  <c:v>Car Financing Loans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Diagramme!$B$46:$Q$46</c:f>
              <c:numCache>
                <c:formatCode>_-[$$-409]* #,##0_ ;_-[$$-409]* \-#,##0\ ;_-[$$-409]* "-"??_ ;_-@_ </c:formatCode>
                <c:ptCount val="16"/>
                <c:pt idx="0">
                  <c:v>14433430000</c:v>
                </c:pt>
                <c:pt idx="1">
                  <c:v>1808830000</c:v>
                </c:pt>
                <c:pt idx="2">
                  <c:v>2333250000</c:v>
                </c:pt>
                <c:pt idx="3">
                  <c:v>2824240000</c:v>
                </c:pt>
                <c:pt idx="4">
                  <c:v>3796390000</c:v>
                </c:pt>
                <c:pt idx="5">
                  <c:v>5618940000</c:v>
                </c:pt>
                <c:pt idx="6">
                  <c:v>7407430000</c:v>
                </c:pt>
                <c:pt idx="7">
                  <c:v>9036770000</c:v>
                </c:pt>
                <c:pt idx="8">
                  <c:v>12118000000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Diagramme!$A$47</c:f>
              <c:strCache>
                <c:ptCount val="1"/>
                <c:pt idx="0">
                  <c:v>Fixed Assets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Diagramme!$B$47:$Q$47</c:f>
              <c:numCache>
                <c:formatCode>_-[$$-409]* #,##0_ ;_-[$$-409]* \-#,##0\ ;_-[$$-409]* "-"??_ ;_-@_ </c:formatCode>
                <c:ptCount val="16"/>
                <c:pt idx="0">
                  <c:v>12010000</c:v>
                </c:pt>
                <c:pt idx="1">
                  <c:v>11320000</c:v>
                </c:pt>
                <c:pt idx="2">
                  <c:v>11360000</c:v>
                </c:pt>
                <c:pt idx="3">
                  <c:v>10250000</c:v>
                </c:pt>
                <c:pt idx="4">
                  <c:v>11540000</c:v>
                </c:pt>
                <c:pt idx="5">
                  <c:v>11000000</c:v>
                </c:pt>
                <c:pt idx="6">
                  <c:v>10710000</c:v>
                </c:pt>
                <c:pt idx="7">
                  <c:v>12970000</c:v>
                </c:pt>
                <c:pt idx="8">
                  <c:v>13140000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Diagramme!$A$48</c:f>
              <c:strCache>
                <c:ptCount val="1"/>
                <c:pt idx="0">
                  <c:v>Other Assets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Diagramme!$B$48:$Q$48</c:f>
              <c:numCache>
                <c:formatCode>_-[$$-409]* #,##0_ ;_-[$$-409]* \-#,##0\ ;_-[$$-409]* "-"??_ ;_-@_ </c:formatCode>
                <c:ptCount val="16"/>
                <c:pt idx="0">
                  <c:v>12010000</c:v>
                </c:pt>
                <c:pt idx="1">
                  <c:v>11320000</c:v>
                </c:pt>
                <c:pt idx="2">
                  <c:v>11360000</c:v>
                </c:pt>
                <c:pt idx="3">
                  <c:v>10250000</c:v>
                </c:pt>
                <c:pt idx="4">
                  <c:v>11540000</c:v>
                </c:pt>
                <c:pt idx="5">
                  <c:v>11000000</c:v>
                </c:pt>
                <c:pt idx="6">
                  <c:v>10710000</c:v>
                </c:pt>
                <c:pt idx="7">
                  <c:v>12970000</c:v>
                </c:pt>
                <c:pt idx="8">
                  <c:v>13140000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Diagramme!$A$49</c:f>
              <c:strCache>
                <c:ptCount val="1"/>
                <c:pt idx="0">
                  <c:v>Sum Assets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Diagramme!$B$49:$Q$49</c:f>
              <c:numCache>
                <c:formatCode>_-[$$-409]* #,##0_ ;_-[$$-409]* \-#,##0\ ;_-[$$-409]* "-"??_ ;_-@_ </c:formatCode>
                <c:ptCount val="16"/>
                <c:pt idx="0">
                  <c:v>14445440000</c:v>
                </c:pt>
                <c:pt idx="1">
                  <c:v>2985150000</c:v>
                </c:pt>
                <c:pt idx="2">
                  <c:v>2644610000</c:v>
                </c:pt>
                <c:pt idx="3">
                  <c:v>3053840000</c:v>
                </c:pt>
                <c:pt idx="4">
                  <c:v>3907930000</c:v>
                </c:pt>
                <c:pt idx="5">
                  <c:v>5629940000</c:v>
                </c:pt>
                <c:pt idx="6">
                  <c:v>11430770000</c:v>
                </c:pt>
                <c:pt idx="7">
                  <c:v>11377300000</c:v>
                </c:pt>
                <c:pt idx="8">
                  <c:v>12150660000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1215824"/>
        <c:axId val="421231896"/>
      </c:lineChart>
      <c:catAx>
        <c:axId val="42121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21231896"/>
        <c:crosses val="autoZero"/>
        <c:auto val="1"/>
        <c:lblAlgn val="ctr"/>
        <c:lblOffset val="100"/>
        <c:noMultiLvlLbl val="0"/>
      </c:catAx>
      <c:valAx>
        <c:axId val="421231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_ ;_-[$$-409]* \-#,##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21215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Diagramme!$A$50</c:f>
              <c:strCache>
                <c:ptCount val="1"/>
                <c:pt idx="0">
                  <c:v>Liabilities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Diagramme!$B$1:$Q$1</c:f>
              <c:strCache>
                <c:ptCount val="10"/>
                <c:pt idx="0">
                  <c:v>Aktuell</c:v>
                </c:pt>
                <c:pt idx="1">
                  <c:v>Ausgangspunkt</c:v>
                </c:pt>
                <c:pt idx="2">
                  <c:v>1. Periode</c:v>
                </c:pt>
                <c:pt idx="3">
                  <c:v>2. Periode</c:v>
                </c:pt>
                <c:pt idx="4">
                  <c:v>3. Periode</c:v>
                </c:pt>
                <c:pt idx="5">
                  <c:v>4. Periode</c:v>
                </c:pt>
                <c:pt idx="6">
                  <c:v>5. Periode</c:v>
                </c:pt>
                <c:pt idx="7">
                  <c:v>6. Periode</c:v>
                </c:pt>
                <c:pt idx="8">
                  <c:v>7. Periode</c:v>
                </c:pt>
                <c:pt idx="9">
                  <c:v>8. Periode</c:v>
                </c:pt>
              </c:strCache>
            </c:strRef>
          </c:cat>
          <c:val>
            <c:numRef>
              <c:f>Diagramme!$B$50:$Q$50</c:f>
              <c:numCache>
                <c:formatCode>_-[$$-409]* #,##0_ ;_-[$$-409]* \-#,##0\ ;_-[$$-409]* "-"??_ ;_-@_ </c:formatCode>
                <c:ptCount val="16"/>
                <c:pt idx="0">
                  <c:v>13439990000</c:v>
                </c:pt>
                <c:pt idx="1">
                  <c:v>2772480000</c:v>
                </c:pt>
                <c:pt idx="2">
                  <c:v>2431350000</c:v>
                </c:pt>
                <c:pt idx="3">
                  <c:v>2823510000</c:v>
                </c:pt>
                <c:pt idx="4">
                  <c:v>3645920000</c:v>
                </c:pt>
                <c:pt idx="5">
                  <c:v>5295680000</c:v>
                </c:pt>
                <c:pt idx="6">
                  <c:v>11055620000</c:v>
                </c:pt>
                <c:pt idx="7">
                  <c:v>10911660000</c:v>
                </c:pt>
                <c:pt idx="8">
                  <c:v>11447530000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Diagramme!$A$51</c:f>
              <c:strCache>
                <c:ptCount val="1"/>
                <c:pt idx="0">
                  <c:v>Short Term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Diagramme!$B$51:$I$51</c:f>
              <c:numCache>
                <c:formatCode>_-[$$-409]* #,##0_ ;_-[$$-409]* \-#,##0\ ;_-[$$-409]* "-"??_ ;_-@_ </c:formatCode>
                <c:ptCount val="8"/>
                <c:pt idx="0">
                  <c:v>4762770000</c:v>
                </c:pt>
                <c:pt idx="1">
                  <c:v>1299550000</c:v>
                </c:pt>
                <c:pt idx="2">
                  <c:v>1136990000</c:v>
                </c:pt>
                <c:pt idx="3">
                  <c:v>1200000000</c:v>
                </c:pt>
                <c:pt idx="4">
                  <c:v>2023130000</c:v>
                </c:pt>
                <c:pt idx="5">
                  <c:v>3119560000</c:v>
                </c:pt>
                <c:pt idx="6">
                  <c:v>7750000000</c:v>
                </c:pt>
                <c:pt idx="7">
                  <c:v>5300000000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Diagramme!$A$52</c:f>
              <c:strCache>
                <c:ptCount val="1"/>
                <c:pt idx="0">
                  <c:v>Central bank Advance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Diagramme!$B$52:$Q$52</c:f>
              <c:numCache>
                <c:formatCode>_-[$$-409]* #,##0_ ;_-[$$-409]* \-#,##0\ ;_-[$$-409]* "-"??_ ;_-@_ </c:formatCode>
                <c:ptCount val="16"/>
                <c:pt idx="0">
                  <c:v>2262770000</c:v>
                </c:pt>
                <c:pt idx="1">
                  <c:v>769550000</c:v>
                </c:pt>
                <c:pt idx="2">
                  <c:v>436990000</c:v>
                </c:pt>
                <c:pt idx="3">
                  <c:v>0</c:v>
                </c:pt>
                <c:pt idx="4">
                  <c:v>23130000</c:v>
                </c:pt>
                <c:pt idx="5">
                  <c:v>319560000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Diagramme!$A$53</c:f>
              <c:strCache>
                <c:ptCount val="1"/>
                <c:pt idx="0">
                  <c:v>Repurchase Agreements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Diagramme!$B$53:$Q$53</c:f>
              <c:numCache>
                <c:formatCode>_-[$$-409]* #,##0_ ;_-[$$-409]* \-#,##0\ ;_-[$$-409]* "-"??_ ;_-@_ </c:formatCode>
                <c:ptCount val="16"/>
                <c:pt idx="0">
                  <c:v>2500000000</c:v>
                </c:pt>
                <c:pt idx="1">
                  <c:v>530000000</c:v>
                </c:pt>
                <c:pt idx="2">
                  <c:v>700000000</c:v>
                </c:pt>
                <c:pt idx="3">
                  <c:v>1200000000</c:v>
                </c:pt>
                <c:pt idx="4">
                  <c:v>2000000000</c:v>
                </c:pt>
                <c:pt idx="5">
                  <c:v>2800000000</c:v>
                </c:pt>
                <c:pt idx="6">
                  <c:v>7750000000</c:v>
                </c:pt>
                <c:pt idx="7">
                  <c:v>5300000000</c:v>
                </c:pt>
                <c:pt idx="8">
                  <c:v>3000000000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Diagramme!$A$54</c:f>
              <c:strCache>
                <c:ptCount val="1"/>
                <c:pt idx="0">
                  <c:v>Medium Term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Diagramme!$B$54:$Q$54</c:f>
              <c:numCache>
                <c:formatCode>_-[$$-409]* #,##0_ ;_-[$$-409]* \-#,##0\ ;_-[$$-409]* "-"??_ ;_-@_ </c:formatCode>
                <c:ptCount val="16"/>
                <c:pt idx="0">
                  <c:v>8677220000</c:v>
                </c:pt>
                <c:pt idx="1">
                  <c:v>1472930000</c:v>
                </c:pt>
                <c:pt idx="2">
                  <c:v>1294360000</c:v>
                </c:pt>
                <c:pt idx="3">
                  <c:v>1623510000</c:v>
                </c:pt>
                <c:pt idx="4">
                  <c:v>1622790000</c:v>
                </c:pt>
                <c:pt idx="5">
                  <c:v>2176120000</c:v>
                </c:pt>
                <c:pt idx="6">
                  <c:v>3305620000</c:v>
                </c:pt>
                <c:pt idx="7">
                  <c:v>5611660000</c:v>
                </c:pt>
                <c:pt idx="8">
                  <c:v>8447530000.000001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Diagramme!$A$55</c:f>
              <c:strCache>
                <c:ptCount val="1"/>
                <c:pt idx="0">
                  <c:v>Bank Loans Liabilities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Diagramme!$B$55:$Q$55</c:f>
              <c:numCache>
                <c:formatCode>_-[$$-409]* #,##0_ ;_-[$$-409]* \-#,##0\ ;_-[$$-409]* "-"??_ ;_-@_ </c:formatCode>
                <c:ptCount val="16"/>
                <c:pt idx="0">
                  <c:v>0</c:v>
                </c:pt>
                <c:pt idx="1">
                  <c:v>403000000</c:v>
                </c:pt>
                <c:pt idx="2">
                  <c:v>403000000</c:v>
                </c:pt>
                <c:pt idx="3">
                  <c:v>800000000</c:v>
                </c:pt>
                <c:pt idx="4">
                  <c:v>500000000</c:v>
                </c:pt>
                <c:pt idx="5">
                  <c:v>550000000</c:v>
                </c:pt>
                <c:pt idx="6">
                  <c:v>700000000</c:v>
                </c:pt>
                <c:pt idx="7">
                  <c:v>1000000000</c:v>
                </c:pt>
                <c:pt idx="8">
                  <c:v>500000000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Diagramme!$A$56</c:f>
              <c:strCache>
                <c:ptCount val="1"/>
                <c:pt idx="0">
                  <c:v>Customer Savings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Diagramme!$B$56:$Q$56</c:f>
              <c:numCache>
                <c:formatCode>_-[$$-409]* #,##0_ ;_-[$$-409]* \-#,##0\ ;_-[$$-409]* "-"??_ ;_-@_ </c:formatCode>
                <c:ptCount val="16"/>
                <c:pt idx="0">
                  <c:v>8677220000</c:v>
                </c:pt>
                <c:pt idx="1">
                  <c:v>1069930000.0000001</c:v>
                </c:pt>
                <c:pt idx="2">
                  <c:v>891360000</c:v>
                </c:pt>
                <c:pt idx="3">
                  <c:v>823510000</c:v>
                </c:pt>
                <c:pt idx="4">
                  <c:v>1122790000</c:v>
                </c:pt>
                <c:pt idx="5">
                  <c:v>1626120000</c:v>
                </c:pt>
                <c:pt idx="6">
                  <c:v>2605620000</c:v>
                </c:pt>
                <c:pt idx="7">
                  <c:v>4611660000</c:v>
                </c:pt>
                <c:pt idx="8">
                  <c:v>7947530000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Diagramme!$A$57</c:f>
              <c:strCache>
                <c:ptCount val="1"/>
                <c:pt idx="0">
                  <c:v>Equity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Diagramme!$B$57:$Q$57</c:f>
              <c:numCache>
                <c:formatCode>_-[$$-409]* #,##0_ ;_-[$$-409]* \-#,##0\ ;_-[$$-409]* "-"??_ ;_-@_ </c:formatCode>
                <c:ptCount val="16"/>
                <c:pt idx="0">
                  <c:v>1005440000</c:v>
                </c:pt>
                <c:pt idx="1">
                  <c:v>212670000</c:v>
                </c:pt>
                <c:pt idx="2">
                  <c:v>213260000</c:v>
                </c:pt>
                <c:pt idx="3">
                  <c:v>230330000</c:v>
                </c:pt>
                <c:pt idx="4">
                  <c:v>262010000</c:v>
                </c:pt>
                <c:pt idx="5">
                  <c:v>334260000</c:v>
                </c:pt>
                <c:pt idx="6">
                  <c:v>375150000</c:v>
                </c:pt>
                <c:pt idx="7">
                  <c:v>465650000</c:v>
                </c:pt>
                <c:pt idx="8">
                  <c:v>703130000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Diagramme!$A$58</c:f>
              <c:strCache>
                <c:ptCount val="1"/>
                <c:pt idx="0">
                  <c:v>Shareholderïs Equity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Diagramme!$B$58:$Q$58</c:f>
              <c:numCache>
                <c:formatCode>_-[$$-409]* #,##0_ ;_-[$$-409]* \-#,##0\ ;_-[$$-409]* "-"??_ ;_-@_ </c:formatCode>
                <c:ptCount val="16"/>
                <c:pt idx="0">
                  <c:v>85000000</c:v>
                </c:pt>
                <c:pt idx="1">
                  <c:v>85000000</c:v>
                </c:pt>
                <c:pt idx="2">
                  <c:v>85000000</c:v>
                </c:pt>
                <c:pt idx="3">
                  <c:v>85000000</c:v>
                </c:pt>
                <c:pt idx="4">
                  <c:v>85000000</c:v>
                </c:pt>
                <c:pt idx="5">
                  <c:v>85000000</c:v>
                </c:pt>
                <c:pt idx="6">
                  <c:v>85000000</c:v>
                </c:pt>
                <c:pt idx="7">
                  <c:v>85000000</c:v>
                </c:pt>
                <c:pt idx="8">
                  <c:v>85000000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Diagramme!$A$59</c:f>
              <c:strCache>
                <c:ptCount val="1"/>
                <c:pt idx="0">
                  <c:v>Retained Earnings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Diagramme!$B$59:$Q$59</c:f>
              <c:numCache>
                <c:formatCode>_-[$$-409]* #,##0_ ;_-[$$-409]* \-#,##0\ ;_-[$$-409]* "-"??_ ;_-@_ </c:formatCode>
                <c:ptCount val="16"/>
                <c:pt idx="0">
                  <c:v>741440000</c:v>
                </c:pt>
                <c:pt idx="1">
                  <c:v>89820000</c:v>
                </c:pt>
                <c:pt idx="2">
                  <c:v>89740000</c:v>
                </c:pt>
                <c:pt idx="3">
                  <c:v>99540000</c:v>
                </c:pt>
                <c:pt idx="4">
                  <c:v>118420000</c:v>
                </c:pt>
                <c:pt idx="5">
                  <c:v>167280000</c:v>
                </c:pt>
                <c:pt idx="6">
                  <c:v>190110000</c:v>
                </c:pt>
                <c:pt idx="7">
                  <c:v>268960000</c:v>
                </c:pt>
                <c:pt idx="8">
                  <c:v>471650000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Diagramme!$A$60</c:f>
              <c:strCache>
                <c:ptCount val="1"/>
                <c:pt idx="0">
                  <c:v>Revaluation Reserves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Diagramme!$B$60:$Q$60</c:f>
              <c:numCache>
                <c:formatCode>_-[$$-409]* #,##0_ ;_-[$$-409]* \-#,##0\ ;_-[$$-409]* "-"??_ ;_-@_ </c:formatCode>
                <c:ptCount val="16"/>
                <c:pt idx="0">
                  <c:v>179000000</c:v>
                </c:pt>
                <c:pt idx="1">
                  <c:v>37850000</c:v>
                </c:pt>
                <c:pt idx="2">
                  <c:v>38520000</c:v>
                </c:pt>
                <c:pt idx="3">
                  <c:v>45790000</c:v>
                </c:pt>
                <c:pt idx="4">
                  <c:v>58590000</c:v>
                </c:pt>
                <c:pt idx="5">
                  <c:v>81980000</c:v>
                </c:pt>
                <c:pt idx="6">
                  <c:v>100040000</c:v>
                </c:pt>
                <c:pt idx="7">
                  <c:v>111690000</c:v>
                </c:pt>
                <c:pt idx="8">
                  <c:v>146480000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Diagramme!$A$61</c:f>
              <c:strCache>
                <c:ptCount val="1"/>
                <c:pt idx="0">
                  <c:v>Sum Equity and Liabilities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Diagramme!$B$61:$Q$61</c:f>
              <c:numCache>
                <c:formatCode>_-[$$-409]* #,##0_ ;_-[$$-409]* \-#,##0\ ;_-[$$-409]* "-"??_ ;_-@_ </c:formatCode>
                <c:ptCount val="16"/>
                <c:pt idx="0">
                  <c:v>14445440000</c:v>
                </c:pt>
                <c:pt idx="1">
                  <c:v>2985150000</c:v>
                </c:pt>
                <c:pt idx="2">
                  <c:v>2644610000</c:v>
                </c:pt>
                <c:pt idx="3">
                  <c:v>3053840000</c:v>
                </c:pt>
                <c:pt idx="4">
                  <c:v>3907930000</c:v>
                </c:pt>
                <c:pt idx="5">
                  <c:v>5629940000</c:v>
                </c:pt>
                <c:pt idx="6">
                  <c:v>11430770000</c:v>
                </c:pt>
                <c:pt idx="7">
                  <c:v>11377300000</c:v>
                </c:pt>
                <c:pt idx="8">
                  <c:v>12150660000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1215432"/>
        <c:axId val="421231112"/>
      </c:lineChart>
      <c:catAx>
        <c:axId val="421215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21231112"/>
        <c:crosses val="autoZero"/>
        <c:auto val="1"/>
        <c:lblAlgn val="ctr"/>
        <c:lblOffset val="100"/>
        <c:noMultiLvlLbl val="0"/>
      </c:catAx>
      <c:valAx>
        <c:axId val="421231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_ ;_-[$$-409]* \-#,##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21215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88900</xdr:colOff>
      <xdr:row>22</xdr:row>
      <xdr:rowOff>101600</xdr:rowOff>
    </xdr:from>
    <xdr:to>
      <xdr:col>3</xdr:col>
      <xdr:colOff>241300</xdr:colOff>
      <xdr:row>24</xdr:row>
      <xdr:rowOff>101600</xdr:rowOff>
    </xdr:to>
    <xdr:sp macro="" textlink="">
      <xdr:nvSpPr>
        <xdr:cNvPr id="10242" name="CommandButton1" hidden="1">
          <a:extLst>
            <a:ext uri="{63B3BB69-23CF-44E3-9099-C40C66FF867C}">
              <a14:compatExt xmlns:a14="http://schemas.microsoft.com/office/drawing/2010/main" spid="_x0000_s1024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292100</xdr:colOff>
      <xdr:row>22</xdr:row>
      <xdr:rowOff>101600</xdr:rowOff>
    </xdr:from>
    <xdr:to>
      <xdr:col>5</xdr:col>
      <xdr:colOff>444500</xdr:colOff>
      <xdr:row>24</xdr:row>
      <xdr:rowOff>101600</xdr:rowOff>
    </xdr:to>
    <xdr:sp macro="" textlink="">
      <xdr:nvSpPr>
        <xdr:cNvPr id="10244" name="CommandButton2" hidden="1">
          <a:extLst>
            <a:ext uri="{63B3BB69-23CF-44E3-9099-C40C66FF867C}">
              <a14:compatExt xmlns:a14="http://schemas.microsoft.com/office/drawing/2010/main" spid="_x0000_s1024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520700</xdr:colOff>
      <xdr:row>22</xdr:row>
      <xdr:rowOff>101600</xdr:rowOff>
    </xdr:from>
    <xdr:to>
      <xdr:col>7</xdr:col>
      <xdr:colOff>673100</xdr:colOff>
      <xdr:row>24</xdr:row>
      <xdr:rowOff>101600</xdr:rowOff>
    </xdr:to>
    <xdr:sp macro="" textlink="">
      <xdr:nvSpPr>
        <xdr:cNvPr id="10245" name="CommandButton3" hidden="1">
          <a:extLst>
            <a:ext uri="{63B3BB69-23CF-44E3-9099-C40C66FF867C}">
              <a14:compatExt xmlns:a14="http://schemas.microsoft.com/office/drawing/2010/main" spid="_x0000_s1024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63500</xdr:colOff>
      <xdr:row>22</xdr:row>
      <xdr:rowOff>88900</xdr:rowOff>
    </xdr:from>
    <xdr:to>
      <xdr:col>3</xdr:col>
      <xdr:colOff>190500</xdr:colOff>
      <xdr:row>24</xdr:row>
      <xdr:rowOff>101600</xdr:rowOff>
    </xdr:to>
    <xdr:sp macro="" textlink="">
      <xdr:nvSpPr>
        <xdr:cNvPr id="1026" name="CommandButton1" hidden="1">
          <a:extLst>
            <a:ext uri="{63B3BB69-23CF-44E3-9099-C40C66FF867C}">
              <a14:compatExt xmlns:a14="http://schemas.microsoft.com/office/drawing/2010/main" spid="_x0000_s102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292100</xdr:colOff>
      <xdr:row>22</xdr:row>
      <xdr:rowOff>88900</xdr:rowOff>
    </xdr:from>
    <xdr:to>
      <xdr:col>5</xdr:col>
      <xdr:colOff>406400</xdr:colOff>
      <xdr:row>24</xdr:row>
      <xdr:rowOff>101600</xdr:rowOff>
    </xdr:to>
    <xdr:sp macro="" textlink="">
      <xdr:nvSpPr>
        <xdr:cNvPr id="1027" name="CommandButton2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508000</xdr:colOff>
      <xdr:row>22</xdr:row>
      <xdr:rowOff>88900</xdr:rowOff>
    </xdr:from>
    <xdr:to>
      <xdr:col>7</xdr:col>
      <xdr:colOff>635000</xdr:colOff>
      <xdr:row>24</xdr:row>
      <xdr:rowOff>101600</xdr:rowOff>
    </xdr:to>
    <xdr:sp macro="" textlink="">
      <xdr:nvSpPr>
        <xdr:cNvPr id="1028" name="CommandButton3" hidden="1">
          <a:extLst>
            <a:ext uri="{63B3BB69-23CF-44E3-9099-C40C66FF867C}">
              <a14:compatExt xmlns:a14="http://schemas.microsoft.com/office/drawing/2010/main" spid="_x0000_s102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47625</xdr:colOff>
      <xdr:row>22</xdr:row>
      <xdr:rowOff>66675</xdr:rowOff>
    </xdr:from>
    <xdr:to>
      <xdr:col>3</xdr:col>
      <xdr:colOff>142875</xdr:colOff>
      <xdr:row>24</xdr:row>
      <xdr:rowOff>76200</xdr:rowOff>
    </xdr:to>
    <xdr:pic>
      <xdr:nvPicPr>
        <xdr:cNvPr id="2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4257675"/>
          <a:ext cx="1543050" cy="3905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219075</xdr:colOff>
      <xdr:row>22</xdr:row>
      <xdr:rowOff>66675</xdr:rowOff>
    </xdr:from>
    <xdr:to>
      <xdr:col>5</xdr:col>
      <xdr:colOff>304800</xdr:colOff>
      <xdr:row>24</xdr:row>
      <xdr:rowOff>76200</xdr:rowOff>
    </xdr:to>
    <xdr:pic>
      <xdr:nvPicPr>
        <xdr:cNvPr id="3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7375" y="4257675"/>
          <a:ext cx="1533525" cy="3905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381000</xdr:colOff>
      <xdr:row>22</xdr:row>
      <xdr:rowOff>66675</xdr:rowOff>
    </xdr:from>
    <xdr:to>
      <xdr:col>7</xdr:col>
      <xdr:colOff>476250</xdr:colOff>
      <xdr:row>24</xdr:row>
      <xdr:rowOff>76200</xdr:rowOff>
    </xdr:to>
    <xdr:pic>
      <xdr:nvPicPr>
        <xdr:cNvPr id="4" name="CommandButton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67100" y="4257675"/>
          <a:ext cx="1543050" cy="3905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66675</xdr:rowOff>
        </xdr:from>
        <xdr:to>
          <xdr:col>1</xdr:col>
          <xdr:colOff>219075</xdr:colOff>
          <xdr:row>1</xdr:row>
          <xdr:rowOff>152400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66675</xdr:rowOff>
        </xdr:from>
        <xdr:to>
          <xdr:col>2</xdr:col>
          <xdr:colOff>447675</xdr:colOff>
          <xdr:row>1</xdr:row>
          <xdr:rowOff>152400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CFO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1495425</xdr:colOff>
          <xdr:row>0</xdr:row>
          <xdr:rowOff>66675</xdr:rowOff>
        </xdr:from>
        <xdr:to>
          <xdr:col>2</xdr:col>
          <xdr:colOff>1943100</xdr:colOff>
          <xdr:row>1</xdr:row>
          <xdr:rowOff>152400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CMO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1981200</xdr:colOff>
          <xdr:row>0</xdr:row>
          <xdr:rowOff>66675</xdr:rowOff>
        </xdr:from>
        <xdr:to>
          <xdr:col>2</xdr:col>
          <xdr:colOff>2428875</xdr:colOff>
          <xdr:row>1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COO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463826</xdr:colOff>
      <xdr:row>62</xdr:row>
      <xdr:rowOff>24848</xdr:rowOff>
    </xdr:from>
    <xdr:to>
      <xdr:col>11</xdr:col>
      <xdr:colOff>811795</xdr:colOff>
      <xdr:row>62</xdr:row>
      <xdr:rowOff>35677</xdr:rowOff>
    </xdr:to>
    <xdr:cxnSp macro="">
      <xdr:nvCxnSpPr>
        <xdr:cNvPr id="4" name="Gerader Verbinder 3"/>
        <xdr:cNvCxnSpPr/>
      </xdr:nvCxnSpPr>
      <xdr:spPr>
        <a:xfrm>
          <a:off x="662609" y="9889435"/>
          <a:ext cx="7769186" cy="10829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9963</xdr:colOff>
      <xdr:row>56</xdr:row>
      <xdr:rowOff>19975</xdr:rowOff>
    </xdr:from>
    <xdr:to>
      <xdr:col>11</xdr:col>
      <xdr:colOff>949577</xdr:colOff>
      <xdr:row>70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11</xdr:col>
      <xdr:colOff>939614</xdr:colOff>
      <xdr:row>86</xdr:row>
      <xdr:rowOff>170525</xdr:rowOff>
    </xdr:to>
    <xdr:graphicFrame macro="">
      <xdr:nvGraphicFramePr>
        <xdr:cNvPr id="7" name="Diagramm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89648</xdr:colOff>
      <xdr:row>55</xdr:row>
      <xdr:rowOff>174812</xdr:rowOff>
    </xdr:from>
    <xdr:to>
      <xdr:col>22</xdr:col>
      <xdr:colOff>705971</xdr:colOff>
      <xdr:row>70</xdr:row>
      <xdr:rowOff>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5602</xdr:colOff>
      <xdr:row>72</xdr:row>
      <xdr:rowOff>186018</xdr:rowOff>
    </xdr:from>
    <xdr:to>
      <xdr:col>23</xdr:col>
      <xdr:colOff>11206</xdr:colOff>
      <xdr:row>87</xdr:row>
      <xdr:rowOff>0</xdr:rowOff>
    </xdr:to>
    <xdr:graphicFrame macro="">
      <xdr:nvGraphicFramePr>
        <xdr:cNvPr id="9" name="Diagramm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20409</xdr:colOff>
      <xdr:row>91</xdr:row>
      <xdr:rowOff>57150</xdr:rowOff>
    </xdr:from>
    <xdr:to>
      <xdr:col>11</xdr:col>
      <xdr:colOff>612321</xdr:colOff>
      <xdr:row>109</xdr:row>
      <xdr:rowOff>27214</xdr:rowOff>
    </xdr:to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612321</xdr:colOff>
      <xdr:row>91</xdr:row>
      <xdr:rowOff>40821</xdr:rowOff>
    </xdr:from>
    <xdr:to>
      <xdr:col>22</xdr:col>
      <xdr:colOff>714375</xdr:colOff>
      <xdr:row>109</xdr:row>
      <xdr:rowOff>10885</xdr:rowOff>
    </xdr:to>
    <xdr:graphicFrame macro="">
      <xdr:nvGraphicFramePr>
        <xdr:cNvPr id="11" name="Diagramm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management-overview?p_p_id=go4c_mgmtoverview_portlet_WAR_go4cmgmtoverviewportlet_INSTANCE_lBa8&amp;p_p_lifecycle=0&amp;p_p_state=maximized&amp;p_p_mode=view&amp;TABS_FORWARD=PROCESS_DEVELOPMENT_FORWARD" connectionId="1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balance-scorecard?p_p_id=go4c_bsc_rm_portlet_WAR_go4cbscrmportlet_INSTANCE_s6L2&amp;p_p_lifecycle=0&amp;p_p_state=maximized&amp;p_p_mode=view&amp;TABS_FORWARD=RESOURCE_MGMT_FORWARD&amp;CURRENT_ROLE=CIO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balance-scorecard?p_p_id=go4c_bsc_rm_portlet_WAR_go4cbscrmportlet_INSTANCE_s6L2&amp;p_p_lifecycle=0&amp;p_p_state=maximized&amp;p_p_mode=view&amp;TABS_FORWARD=RESOURCE_MGMT_FORWARD&amp;CURRENT_ROLE=CFO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balance-scorecard?p_p_id=go4c_bsc_rm_portlet_WAR_go4cbscrmportlet_INSTANCE_s6L2&amp;p_p_lifecycle=0&amp;p_p_state=maximized&amp;p_p_mode=view&amp;TABS_FORWARD=RESOURCE_MGMT_FORWARD&amp;CURRENT_ROLE=CMO" connectionId="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balance-scorecard?p_p_id=go4c_bsc_rm_portlet_WAR_go4cbscrmportlet_INSTANCE_s6L2&amp;p_p_lifecycle=0&amp;p_p_state=maximized&amp;p_p_mode=view&amp;TABS_FORWARD=RESOURCE_MGMT_FORWARD&amp;CURRENT_ROLE=COO" connectionId="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balance-scorecard?p_p_id=go4c_bsc_rm_portlet_WAR_go4cbscrmportlet_INSTANCE_s6L2&amp;p_p_lifecycle=0&amp;p_p_state=maximized&amp;p_p_mode=view&amp;CURRENT_ROLE=CIO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balance-scorecard?p_p_id=go4c_bsc_rm_portlet_WAR_go4cbscrmportlet_INSTANCE_s6L2&amp;p_p_lifecycle=0&amp;p_p_state=maximized&amp;p_p_mode=view&amp;CURRENT_ROLE=CFO_1" connectionId="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balance-scorecard?p_p_id=go4c_bsc_rm_portlet_WAR_go4cbscrmportlet_INSTANCE_s6L2&amp;p_p_lifecycle=0&amp;p_p_state=maximized&amp;p_p_mode=view&amp;CURRENT_ROLE=CMO_1" connectionId="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balance-scorecard?p_p_id=go4c_bsc_rm_portlet_WAR_go4cbscrmportlet_INSTANCE_s6L2&amp;p_p_lifecycle=0&amp;p_p_state=maximized&amp;p_p_mode=view&amp;CURRENT_ROLE=COO_1" connectionId="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management-overview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ProfitLoss" connectionId="1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_Startseite">
    <tabColor rgb="FF0070C0"/>
  </sheetPr>
  <dimension ref="B2:H25"/>
  <sheetViews>
    <sheetView tabSelected="1" zoomScale="70" zoomScaleNormal="70" zoomScalePageLayoutView="70" workbookViewId="0">
      <selection activeCell="R28" sqref="R28"/>
    </sheetView>
  </sheetViews>
  <sheetFormatPr baseColWidth="10" defaultColWidth="10.85546875" defaultRowHeight="15" x14ac:dyDescent="0.25"/>
  <cols>
    <col min="1" max="1" width="2.85546875" style="28" customWidth="1"/>
    <col min="2" max="8" width="10.85546875" style="28"/>
    <col min="9" max="9" width="11.42578125" style="28" customWidth="1"/>
    <col min="10" max="16384" width="10.85546875" style="28"/>
  </cols>
  <sheetData>
    <row r="2" spans="2:8" x14ac:dyDescent="0.25">
      <c r="B2" s="306" t="s">
        <v>184</v>
      </c>
      <c r="C2" s="307"/>
      <c r="D2" s="307"/>
      <c r="E2" s="307"/>
      <c r="F2" s="307"/>
      <c r="G2" s="307"/>
      <c r="H2" s="308"/>
    </row>
    <row r="3" spans="2:8" ht="15" customHeight="1" x14ac:dyDescent="0.25">
      <c r="B3" s="309" t="s">
        <v>601</v>
      </c>
      <c r="C3" s="310"/>
      <c r="D3" s="310"/>
      <c r="E3" s="310"/>
      <c r="F3" s="310"/>
      <c r="G3" s="310"/>
      <c r="H3" s="311"/>
    </row>
    <row r="4" spans="2:8" x14ac:dyDescent="0.25">
      <c r="B4" s="309"/>
      <c r="C4" s="310"/>
      <c r="D4" s="310"/>
      <c r="E4" s="310"/>
      <c r="F4" s="310"/>
      <c r="G4" s="310"/>
      <c r="H4" s="311"/>
    </row>
    <row r="5" spans="2:8" x14ac:dyDescent="0.25">
      <c r="B5" s="309"/>
      <c r="C5" s="310"/>
      <c r="D5" s="310"/>
      <c r="E5" s="310"/>
      <c r="F5" s="310"/>
      <c r="G5" s="310"/>
      <c r="H5" s="311"/>
    </row>
    <row r="6" spans="2:8" x14ac:dyDescent="0.25">
      <c r="B6" s="309"/>
      <c r="C6" s="310"/>
      <c r="D6" s="310"/>
      <c r="E6" s="310"/>
      <c r="F6" s="310"/>
      <c r="G6" s="310"/>
      <c r="H6" s="311"/>
    </row>
    <row r="7" spans="2:8" x14ac:dyDescent="0.25">
      <c r="B7" s="309"/>
      <c r="C7" s="310"/>
      <c r="D7" s="310"/>
      <c r="E7" s="310"/>
      <c r="F7" s="310"/>
      <c r="G7" s="310"/>
      <c r="H7" s="311"/>
    </row>
    <row r="8" spans="2:8" x14ac:dyDescent="0.25">
      <c r="B8" s="309"/>
      <c r="C8" s="310"/>
      <c r="D8" s="310"/>
      <c r="E8" s="310"/>
      <c r="F8" s="310"/>
      <c r="G8" s="310"/>
      <c r="H8" s="311"/>
    </row>
    <row r="9" spans="2:8" x14ac:dyDescent="0.25">
      <c r="B9" s="309"/>
      <c r="C9" s="310"/>
      <c r="D9" s="310"/>
      <c r="E9" s="310"/>
      <c r="F9" s="310"/>
      <c r="G9" s="310"/>
      <c r="H9" s="311"/>
    </row>
    <row r="10" spans="2:8" x14ac:dyDescent="0.25">
      <c r="B10" s="309"/>
      <c r="C10" s="310"/>
      <c r="D10" s="310"/>
      <c r="E10" s="310"/>
      <c r="F10" s="310"/>
      <c r="G10" s="310"/>
      <c r="H10" s="311"/>
    </row>
    <row r="11" spans="2:8" x14ac:dyDescent="0.25">
      <c r="B11" s="309"/>
      <c r="C11" s="310"/>
      <c r="D11" s="310"/>
      <c r="E11" s="310"/>
      <c r="F11" s="310"/>
      <c r="G11" s="310"/>
      <c r="H11" s="311"/>
    </row>
    <row r="12" spans="2:8" x14ac:dyDescent="0.25">
      <c r="B12" s="309"/>
      <c r="C12" s="310"/>
      <c r="D12" s="310"/>
      <c r="E12" s="310"/>
      <c r="F12" s="310"/>
      <c r="G12" s="310"/>
      <c r="H12" s="311"/>
    </row>
    <row r="13" spans="2:8" x14ac:dyDescent="0.25">
      <c r="B13" s="309"/>
      <c r="C13" s="310"/>
      <c r="D13" s="310"/>
      <c r="E13" s="310"/>
      <c r="F13" s="310"/>
      <c r="G13" s="310"/>
      <c r="H13" s="311"/>
    </row>
    <row r="14" spans="2:8" x14ac:dyDescent="0.25">
      <c r="B14" s="309"/>
      <c r="C14" s="310"/>
      <c r="D14" s="310"/>
      <c r="E14" s="310"/>
      <c r="F14" s="310"/>
      <c r="G14" s="310"/>
      <c r="H14" s="311"/>
    </row>
    <row r="15" spans="2:8" x14ac:dyDescent="0.25">
      <c r="B15" s="309"/>
      <c r="C15" s="310"/>
      <c r="D15" s="310"/>
      <c r="E15" s="310"/>
      <c r="F15" s="310"/>
      <c r="G15" s="310"/>
      <c r="H15" s="311"/>
    </row>
    <row r="16" spans="2:8" x14ac:dyDescent="0.25">
      <c r="B16" s="309"/>
      <c r="C16" s="310"/>
      <c r="D16" s="310"/>
      <c r="E16" s="310"/>
      <c r="F16" s="310"/>
      <c r="G16" s="310"/>
      <c r="H16" s="311"/>
    </row>
    <row r="17" spans="2:8" x14ac:dyDescent="0.25">
      <c r="B17" s="309"/>
      <c r="C17" s="310"/>
      <c r="D17" s="310"/>
      <c r="E17" s="310"/>
      <c r="F17" s="310"/>
      <c r="G17" s="310"/>
      <c r="H17" s="311"/>
    </row>
    <row r="18" spans="2:8" x14ac:dyDescent="0.25">
      <c r="B18" s="309"/>
      <c r="C18" s="310"/>
      <c r="D18" s="310"/>
      <c r="E18" s="310"/>
      <c r="F18" s="310"/>
      <c r="G18" s="310"/>
      <c r="H18" s="311"/>
    </row>
    <row r="19" spans="2:8" x14ac:dyDescent="0.25">
      <c r="B19" s="309"/>
      <c r="C19" s="310"/>
      <c r="D19" s="310"/>
      <c r="E19" s="310"/>
      <c r="F19" s="310"/>
      <c r="G19" s="310"/>
      <c r="H19" s="311"/>
    </row>
    <row r="20" spans="2:8" x14ac:dyDescent="0.25">
      <c r="B20" s="309"/>
      <c r="C20" s="310"/>
      <c r="D20" s="310"/>
      <c r="E20" s="310"/>
      <c r="F20" s="310"/>
      <c r="G20" s="310"/>
      <c r="H20" s="311"/>
    </row>
    <row r="21" spans="2:8" x14ac:dyDescent="0.25">
      <c r="B21" s="309"/>
      <c r="C21" s="310"/>
      <c r="D21" s="310"/>
      <c r="E21" s="310"/>
      <c r="F21" s="310"/>
      <c r="G21" s="310"/>
      <c r="H21" s="311"/>
    </row>
    <row r="22" spans="2:8" x14ac:dyDescent="0.25">
      <c r="B22" s="312"/>
      <c r="C22" s="313"/>
      <c r="D22" s="313"/>
      <c r="E22" s="313"/>
      <c r="F22" s="313"/>
      <c r="G22" s="313"/>
      <c r="H22" s="314"/>
    </row>
    <row r="23" spans="2:8" x14ac:dyDescent="0.25">
      <c r="B23" s="38"/>
      <c r="C23" s="39"/>
      <c r="D23" s="39"/>
      <c r="E23" s="39"/>
      <c r="F23" s="39"/>
      <c r="G23" s="39"/>
      <c r="H23" s="40"/>
    </row>
    <row r="24" spans="2:8" x14ac:dyDescent="0.25">
      <c r="B24" s="41"/>
      <c r="C24" s="42"/>
      <c r="D24" s="42"/>
      <c r="E24" s="42"/>
      <c r="F24" s="42"/>
      <c r="G24" s="42"/>
      <c r="H24" s="43"/>
    </row>
    <row r="25" spans="2:8" x14ac:dyDescent="0.25">
      <c r="B25" s="44"/>
      <c r="C25" s="45"/>
      <c r="D25" s="45"/>
      <c r="E25" s="45"/>
      <c r="F25" s="45"/>
      <c r="G25" s="45"/>
      <c r="H25" s="46"/>
    </row>
  </sheetData>
  <mergeCells count="2">
    <mergeCell ref="B2:H2"/>
    <mergeCell ref="B3:H22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_MgmtOverview">
    <tabColor rgb="FF0070C0"/>
  </sheetPr>
  <dimension ref="A1:AC130"/>
  <sheetViews>
    <sheetView workbookViewId="0">
      <pane xSplit="4" ySplit="1" topLeftCell="E80" activePane="bottomRight" state="frozen"/>
      <selection pane="topRight" activeCell="D1" sqref="D1"/>
      <selection pane="bottomLeft" activeCell="A2" sqref="A2"/>
      <selection pane="bottomRight" activeCell="E111" sqref="E111"/>
    </sheetView>
  </sheetViews>
  <sheetFormatPr baseColWidth="10" defaultColWidth="16.42578125" defaultRowHeight="15" x14ac:dyDescent="0.25"/>
  <cols>
    <col min="1" max="2" width="3.7109375" style="4" bestFit="1" customWidth="1"/>
    <col min="3" max="3" width="48.85546875" bestFit="1" customWidth="1"/>
    <col min="4" max="4" width="7.28515625" bestFit="1" customWidth="1"/>
    <col min="5" max="5" width="16.85546875" style="21" bestFit="1" customWidth="1"/>
    <col min="6" max="9" width="16.42578125" style="21"/>
  </cols>
  <sheetData>
    <row r="1" spans="1:14" s="15" customFormat="1" x14ac:dyDescent="0.25">
      <c r="A1" s="315" t="s">
        <v>123</v>
      </c>
      <c r="B1" s="316"/>
      <c r="C1" s="317"/>
      <c r="D1" s="22" t="s">
        <v>122</v>
      </c>
      <c r="E1" s="20" t="s">
        <v>128</v>
      </c>
      <c r="F1" s="184">
        <v>42302</v>
      </c>
      <c r="G1" s="250">
        <v>42310</v>
      </c>
      <c r="H1" s="20">
        <v>42324</v>
      </c>
      <c r="I1" s="20">
        <v>42332</v>
      </c>
      <c r="J1" s="262">
        <v>42339</v>
      </c>
      <c r="K1" s="263">
        <v>42346</v>
      </c>
      <c r="L1" s="265">
        <v>42360</v>
      </c>
      <c r="M1" s="266">
        <v>42380</v>
      </c>
    </row>
    <row r="2" spans="1:14" s="24" customFormat="1" x14ac:dyDescent="0.25">
      <c r="A2" s="318" t="s">
        <v>157</v>
      </c>
      <c r="B2" s="318" t="s">
        <v>181</v>
      </c>
      <c r="C2" s="10" t="s">
        <v>133</v>
      </c>
      <c r="D2" s="10" t="s">
        <v>183</v>
      </c>
      <c r="E2" s="24">
        <f>VLOOKUP(C2,'Bilanz Import'!A:B,2,FALSE)*1000000</f>
        <v>14433430000</v>
      </c>
      <c r="F2" s="24">
        <v>2973830000</v>
      </c>
      <c r="G2" s="24">
        <v>2633250000</v>
      </c>
      <c r="H2" s="24">
        <v>3043590000</v>
      </c>
      <c r="I2" s="24">
        <v>3896390000</v>
      </c>
      <c r="J2" s="24">
        <v>5618940000</v>
      </c>
      <c r="K2" s="24">
        <v>11420060000</v>
      </c>
      <c r="L2" s="24">
        <v>11364330000</v>
      </c>
      <c r="M2" s="24">
        <v>12137520000</v>
      </c>
    </row>
    <row r="3" spans="1:14" s="25" customFormat="1" x14ac:dyDescent="0.25">
      <c r="A3" s="318"/>
      <c r="B3" s="318"/>
      <c r="C3" s="6" t="s">
        <v>134</v>
      </c>
      <c r="D3" s="6" t="s">
        <v>183</v>
      </c>
      <c r="E3" s="25">
        <f>VLOOKUP(C3,'Bilanz Import'!A:B,2,FALSE)*1000000</f>
        <v>0</v>
      </c>
      <c r="F3" s="25">
        <v>805000000</v>
      </c>
      <c r="G3" s="25">
        <v>300000000</v>
      </c>
      <c r="H3" s="25">
        <v>219340000</v>
      </c>
      <c r="I3" s="25">
        <v>100000000</v>
      </c>
      <c r="J3" s="25">
        <v>0</v>
      </c>
      <c r="K3" s="25">
        <v>4012630000</v>
      </c>
      <c r="L3" s="25">
        <v>2327560000</v>
      </c>
      <c r="M3" s="25">
        <v>19520000</v>
      </c>
    </row>
    <row r="4" spans="1:14" s="24" customFormat="1" x14ac:dyDescent="0.25">
      <c r="A4" s="318"/>
      <c r="B4" s="318"/>
      <c r="C4" s="10" t="s">
        <v>135</v>
      </c>
      <c r="D4" s="10" t="s">
        <v>183</v>
      </c>
      <c r="E4" s="24">
        <f>VLOOKUP(C4,'Bilanz Import'!A:B,2,FALSE)*1000000</f>
        <v>0</v>
      </c>
      <c r="F4" s="24">
        <v>0</v>
      </c>
      <c r="G4" s="24">
        <v>0</v>
      </c>
      <c r="H4" s="24">
        <v>19340000</v>
      </c>
      <c r="I4" s="24">
        <v>0</v>
      </c>
      <c r="J4" s="24">
        <v>0</v>
      </c>
      <c r="K4" s="24">
        <v>4012630000</v>
      </c>
      <c r="L4" s="24">
        <v>2327560000</v>
      </c>
      <c r="M4" s="24">
        <v>19520000</v>
      </c>
    </row>
    <row r="5" spans="1:14" s="25" customFormat="1" x14ac:dyDescent="0.25">
      <c r="A5" s="318"/>
      <c r="B5" s="318"/>
      <c r="C5" s="6" t="s">
        <v>136</v>
      </c>
      <c r="D5" s="6" t="s">
        <v>183</v>
      </c>
      <c r="E5" s="25">
        <f>VLOOKUP(C5,'Bilanz Import'!A:B,2,FALSE)*1000000</f>
        <v>0</v>
      </c>
      <c r="F5" s="25">
        <v>277500000</v>
      </c>
      <c r="G5" s="25">
        <v>200000000</v>
      </c>
      <c r="H5" s="25">
        <v>100000000</v>
      </c>
      <c r="I5" s="25">
        <v>100000000</v>
      </c>
      <c r="J5" s="25">
        <v>0</v>
      </c>
      <c r="K5" s="25">
        <v>0</v>
      </c>
      <c r="L5" s="25">
        <v>0</v>
      </c>
      <c r="M5" s="25">
        <v>0</v>
      </c>
    </row>
    <row r="6" spans="1:14" s="24" customFormat="1" x14ac:dyDescent="0.25">
      <c r="A6" s="318"/>
      <c r="B6" s="318"/>
      <c r="C6" s="10" t="s">
        <v>137</v>
      </c>
      <c r="D6" s="10" t="s">
        <v>183</v>
      </c>
      <c r="E6" s="24">
        <f>VLOOKUP(C6,'Bilanz Import'!A:B,2,FALSE)*1000000</f>
        <v>0</v>
      </c>
      <c r="F6" s="24">
        <v>277500000</v>
      </c>
      <c r="G6" s="24">
        <v>0</v>
      </c>
      <c r="H6" s="24">
        <v>0</v>
      </c>
      <c r="I6" s="24">
        <v>0</v>
      </c>
      <c r="J6" s="24">
        <v>0</v>
      </c>
      <c r="K6" s="24">
        <v>0</v>
      </c>
      <c r="L6" s="24">
        <v>0</v>
      </c>
      <c r="M6" s="24">
        <v>0</v>
      </c>
    </row>
    <row r="7" spans="1:14" s="25" customFormat="1" x14ac:dyDescent="0.25">
      <c r="A7" s="318"/>
      <c r="B7" s="318"/>
      <c r="C7" s="6" t="s">
        <v>138</v>
      </c>
      <c r="D7" s="6" t="s">
        <v>183</v>
      </c>
      <c r="E7" s="25">
        <f>VLOOKUP(C7,'Bilanz Import'!A:B,2,FALSE)*1000000</f>
        <v>0</v>
      </c>
      <c r="F7" s="25">
        <v>250000000</v>
      </c>
      <c r="G7" s="25">
        <v>100000000</v>
      </c>
      <c r="H7" s="25">
        <v>100000000</v>
      </c>
      <c r="I7" s="25">
        <v>0</v>
      </c>
      <c r="J7" s="25">
        <v>0</v>
      </c>
      <c r="K7" s="25">
        <v>0</v>
      </c>
      <c r="L7" s="25">
        <v>0</v>
      </c>
      <c r="M7" s="25">
        <v>0</v>
      </c>
    </row>
    <row r="8" spans="1:14" s="24" customFormat="1" x14ac:dyDescent="0.25">
      <c r="A8" s="318"/>
      <c r="B8" s="318"/>
      <c r="C8" s="10" t="s">
        <v>139</v>
      </c>
      <c r="D8" s="10" t="s">
        <v>183</v>
      </c>
      <c r="E8" s="24">
        <f>VLOOKUP(C8,'Bilanz Import'!A:B,2,FALSE)*1000000</f>
        <v>14433430000</v>
      </c>
      <c r="F8" s="24">
        <v>2168830000</v>
      </c>
      <c r="G8" s="24">
        <v>2333250000</v>
      </c>
      <c r="H8" s="24">
        <v>2824240000</v>
      </c>
      <c r="I8" s="24">
        <v>3796390000</v>
      </c>
      <c r="J8" s="24">
        <v>5618940000</v>
      </c>
      <c r="K8" s="24">
        <v>7407430000</v>
      </c>
      <c r="L8" s="24">
        <v>9036770000</v>
      </c>
      <c r="M8" s="24">
        <v>12118000000</v>
      </c>
    </row>
    <row r="9" spans="1:14" s="25" customFormat="1" x14ac:dyDescent="0.25">
      <c r="A9" s="318"/>
      <c r="B9" s="318"/>
      <c r="C9" s="6" t="s">
        <v>140</v>
      </c>
      <c r="D9" s="6" t="s">
        <v>183</v>
      </c>
      <c r="E9" s="25">
        <f>VLOOKUP(C9,'Bilanz Import'!A:B,2,FALSE)*1000000</f>
        <v>0</v>
      </c>
      <c r="F9" s="25">
        <v>360000000</v>
      </c>
      <c r="G9" s="25">
        <v>0</v>
      </c>
      <c r="H9" s="25">
        <v>0</v>
      </c>
      <c r="I9" s="25">
        <v>0</v>
      </c>
      <c r="J9" s="25">
        <v>0</v>
      </c>
      <c r="K9" s="25">
        <v>0</v>
      </c>
      <c r="L9" s="25">
        <v>0</v>
      </c>
      <c r="M9" s="25">
        <v>0</v>
      </c>
    </row>
    <row r="10" spans="1:14" s="24" customFormat="1" x14ac:dyDescent="0.25">
      <c r="A10" s="318"/>
      <c r="B10" s="318"/>
      <c r="C10" s="10" t="s">
        <v>141</v>
      </c>
      <c r="D10" s="10" t="s">
        <v>183</v>
      </c>
      <c r="E10" s="24">
        <f>VLOOKUP(C10,'Bilanz Import'!A:B,2,FALSE)*1000000</f>
        <v>14433430000</v>
      </c>
      <c r="F10" s="24">
        <v>1808830000</v>
      </c>
      <c r="G10" s="24">
        <v>2333250000</v>
      </c>
      <c r="H10" s="24">
        <v>2824240000</v>
      </c>
      <c r="I10" s="24">
        <v>3796390000</v>
      </c>
      <c r="J10" s="24">
        <v>5618940000</v>
      </c>
      <c r="K10" s="24">
        <v>7407430000</v>
      </c>
      <c r="L10" s="24">
        <v>9036770000</v>
      </c>
      <c r="M10" s="24">
        <v>12118000000</v>
      </c>
    </row>
    <row r="11" spans="1:14" s="25" customFormat="1" x14ac:dyDescent="0.25">
      <c r="A11" s="318"/>
      <c r="B11" s="318"/>
      <c r="C11" s="6" t="s">
        <v>142</v>
      </c>
      <c r="D11" s="6" t="s">
        <v>183</v>
      </c>
      <c r="E11" s="25">
        <f>VLOOKUP(C11,'Bilanz Import'!A:B,2,FALSE)*1000000</f>
        <v>12010000</v>
      </c>
      <c r="F11" s="25">
        <v>11320000</v>
      </c>
      <c r="G11" s="25">
        <v>11360000</v>
      </c>
      <c r="H11" s="25">
        <v>10250000</v>
      </c>
      <c r="I11" s="25">
        <v>11540000</v>
      </c>
      <c r="J11" s="25">
        <v>11000000</v>
      </c>
      <c r="K11" s="25">
        <v>10710000</v>
      </c>
      <c r="L11" s="25">
        <v>12970000</v>
      </c>
      <c r="M11" s="25">
        <v>13140000</v>
      </c>
    </row>
    <row r="12" spans="1:14" s="24" customFormat="1" x14ac:dyDescent="0.25">
      <c r="A12" s="318"/>
      <c r="B12" s="318"/>
      <c r="C12" s="10" t="s">
        <v>143</v>
      </c>
      <c r="D12" s="10" t="s">
        <v>183</v>
      </c>
      <c r="E12" s="24">
        <f>VLOOKUP(C12,'Bilanz Import'!A:B,2,FALSE)*1000000</f>
        <v>12010000</v>
      </c>
      <c r="F12" s="24">
        <v>11320000</v>
      </c>
      <c r="G12" s="24">
        <v>11360000</v>
      </c>
      <c r="H12" s="24">
        <v>10250000</v>
      </c>
      <c r="I12" s="24">
        <v>11540000</v>
      </c>
      <c r="J12" s="24">
        <v>11000000</v>
      </c>
      <c r="K12" s="24">
        <v>10710000</v>
      </c>
      <c r="L12" s="24">
        <v>12970000</v>
      </c>
      <c r="M12" s="24">
        <v>13140000</v>
      </c>
    </row>
    <row r="13" spans="1:14" s="25" customFormat="1" x14ac:dyDescent="0.25">
      <c r="A13" s="318"/>
      <c r="B13" s="318"/>
      <c r="C13" s="6" t="s">
        <v>144</v>
      </c>
      <c r="D13" s="6" t="s">
        <v>183</v>
      </c>
      <c r="E13" s="25">
        <f>VLOOKUP(C13,'Bilanz Import'!A:B,2,FALSE)*1000000</f>
        <v>14445440000</v>
      </c>
      <c r="F13" s="25">
        <v>2985150000</v>
      </c>
      <c r="G13" s="25">
        <v>2644610000</v>
      </c>
      <c r="H13" s="25">
        <v>3053840000</v>
      </c>
      <c r="I13" s="25">
        <v>3907930000</v>
      </c>
      <c r="J13" s="25">
        <v>5629940000</v>
      </c>
      <c r="K13" s="25">
        <v>11430770000</v>
      </c>
      <c r="L13" s="25">
        <v>11377300000</v>
      </c>
      <c r="M13" s="25">
        <v>12150660000</v>
      </c>
    </row>
    <row r="14" spans="1:14" s="24" customFormat="1" x14ac:dyDescent="0.25">
      <c r="A14" s="318"/>
      <c r="B14" s="318" t="s">
        <v>182</v>
      </c>
      <c r="C14" s="10" t="s">
        <v>145</v>
      </c>
      <c r="D14" s="10" t="s">
        <v>183</v>
      </c>
      <c r="E14" s="24">
        <f>VLOOKUP(C14,'Bilanz Import'!A:B,2,FALSE)*1000000</f>
        <v>13439990000</v>
      </c>
      <c r="F14" s="24">
        <v>2772480000</v>
      </c>
      <c r="G14" s="24">
        <v>2431350000</v>
      </c>
      <c r="H14" s="24">
        <v>2823510000</v>
      </c>
      <c r="I14" s="24">
        <v>3645920000</v>
      </c>
      <c r="J14" s="24">
        <v>5295680000</v>
      </c>
      <c r="K14" s="24">
        <v>11055620000</v>
      </c>
      <c r="L14" s="24">
        <v>10911660000</v>
      </c>
      <c r="M14" s="24">
        <v>11447530000</v>
      </c>
    </row>
    <row r="15" spans="1:14" s="25" customFormat="1" x14ac:dyDescent="0.25">
      <c r="A15" s="318"/>
      <c r="B15" s="318"/>
      <c r="C15" s="6" t="s">
        <v>146</v>
      </c>
      <c r="D15" s="6" t="s">
        <v>183</v>
      </c>
      <c r="E15" s="25">
        <f>VLOOKUP(C15,'Bilanz Import'!A:B,2,FALSE)*1000000</f>
        <v>4762770000</v>
      </c>
      <c r="F15" s="25">
        <v>1299550000</v>
      </c>
      <c r="G15" s="25">
        <v>1136990000</v>
      </c>
      <c r="H15" s="25">
        <v>1200000000</v>
      </c>
      <c r="I15" s="25">
        <v>2023130000</v>
      </c>
      <c r="J15" s="25">
        <v>3119560000</v>
      </c>
      <c r="K15" s="25">
        <v>7750000000</v>
      </c>
      <c r="L15" s="25">
        <v>5300000000</v>
      </c>
      <c r="M15" s="25">
        <v>3000000000</v>
      </c>
    </row>
    <row r="16" spans="1:14" s="24" customFormat="1" x14ac:dyDescent="0.25">
      <c r="A16" s="318"/>
      <c r="B16" s="318"/>
      <c r="C16" s="10" t="s">
        <v>147</v>
      </c>
      <c r="D16" s="10" t="s">
        <v>183</v>
      </c>
      <c r="E16" s="24">
        <f>VLOOKUP(C16,'Bilanz Import'!A:B,2,FALSE)*1000000</f>
        <v>2262770000</v>
      </c>
      <c r="F16" s="24">
        <v>769550000</v>
      </c>
      <c r="G16" s="24">
        <v>436990000</v>
      </c>
      <c r="H16" s="24">
        <v>0</v>
      </c>
      <c r="I16" s="24">
        <v>23130000</v>
      </c>
      <c r="J16" s="24">
        <v>319560000</v>
      </c>
      <c r="K16" s="24">
        <v>0</v>
      </c>
      <c r="L16" s="24">
        <v>0</v>
      </c>
      <c r="M16" s="24">
        <v>0</v>
      </c>
      <c r="N16" s="31"/>
    </row>
    <row r="17" spans="1:13" s="25" customFormat="1" x14ac:dyDescent="0.25">
      <c r="A17" s="318"/>
      <c r="B17" s="318"/>
      <c r="C17" s="6" t="s">
        <v>148</v>
      </c>
      <c r="D17" s="6" t="s">
        <v>183</v>
      </c>
      <c r="E17" s="25">
        <f>VLOOKUP(C17,'Bilanz Import'!A:B,2,FALSE)*1000000</f>
        <v>2500000000</v>
      </c>
      <c r="F17" s="25">
        <v>530000000</v>
      </c>
      <c r="G17" s="25">
        <v>700000000</v>
      </c>
      <c r="H17" s="25">
        <v>1200000000</v>
      </c>
      <c r="I17" s="25">
        <v>2000000000</v>
      </c>
      <c r="J17" s="25">
        <v>2800000000</v>
      </c>
      <c r="K17" s="25">
        <v>7750000000</v>
      </c>
      <c r="L17" s="25">
        <v>5300000000</v>
      </c>
      <c r="M17" s="25">
        <v>3000000000</v>
      </c>
    </row>
    <row r="18" spans="1:13" s="24" customFormat="1" x14ac:dyDescent="0.25">
      <c r="A18" s="318"/>
      <c r="B18" s="318"/>
      <c r="C18" s="10" t="s">
        <v>149</v>
      </c>
      <c r="D18" s="10" t="s">
        <v>183</v>
      </c>
      <c r="E18" s="24">
        <f>VLOOKUP(C18,'Bilanz Import'!A:B,2,FALSE)*1000000</f>
        <v>8677220000</v>
      </c>
      <c r="F18" s="24">
        <v>1472930000</v>
      </c>
      <c r="G18" s="24">
        <v>1294360000</v>
      </c>
      <c r="H18" s="24">
        <v>1623510000</v>
      </c>
      <c r="I18" s="24">
        <v>1622790000</v>
      </c>
      <c r="J18" s="24">
        <v>2176120000</v>
      </c>
      <c r="K18" s="24">
        <v>3305620000</v>
      </c>
      <c r="L18" s="24">
        <v>5611660000</v>
      </c>
      <c r="M18" s="24">
        <v>8447530000.000001</v>
      </c>
    </row>
    <row r="19" spans="1:13" s="25" customFormat="1" x14ac:dyDescent="0.25">
      <c r="A19" s="318"/>
      <c r="B19" s="318"/>
      <c r="C19" s="6" t="s">
        <v>150</v>
      </c>
      <c r="D19" s="6" t="s">
        <v>183</v>
      </c>
      <c r="E19" s="25">
        <f>VLOOKUP(C19,'Bilanz Import'!A:B,2,FALSE)*1000000</f>
        <v>0</v>
      </c>
      <c r="F19" s="25">
        <v>403000000</v>
      </c>
      <c r="G19" s="25">
        <v>403000000</v>
      </c>
      <c r="H19" s="25">
        <v>800000000</v>
      </c>
      <c r="I19" s="25">
        <v>500000000</v>
      </c>
      <c r="J19" s="25">
        <v>550000000</v>
      </c>
      <c r="K19" s="25">
        <v>700000000</v>
      </c>
      <c r="L19" s="25">
        <v>1000000000</v>
      </c>
      <c r="M19" s="25">
        <v>500000000</v>
      </c>
    </row>
    <row r="20" spans="1:13" s="24" customFormat="1" x14ac:dyDescent="0.25">
      <c r="A20" s="318"/>
      <c r="B20" s="318"/>
      <c r="C20" s="10" t="s">
        <v>151</v>
      </c>
      <c r="D20" s="10" t="s">
        <v>183</v>
      </c>
      <c r="E20" s="24">
        <f>VLOOKUP(C20,'Bilanz Import'!A:B,2,FALSE)*1000000</f>
        <v>8677220000</v>
      </c>
      <c r="F20" s="24">
        <v>1069930000.0000001</v>
      </c>
      <c r="G20" s="24">
        <v>891360000</v>
      </c>
      <c r="H20" s="24">
        <v>823510000</v>
      </c>
      <c r="I20" s="24">
        <v>1122790000</v>
      </c>
      <c r="J20" s="24">
        <v>1626120000</v>
      </c>
      <c r="K20" s="24">
        <v>2605620000</v>
      </c>
      <c r="L20" s="24">
        <v>4611660000</v>
      </c>
      <c r="M20" s="24">
        <v>7947530000</v>
      </c>
    </row>
    <row r="21" spans="1:13" s="25" customFormat="1" x14ac:dyDescent="0.25">
      <c r="A21" s="318"/>
      <c r="B21" s="318"/>
      <c r="C21" s="6" t="s">
        <v>152</v>
      </c>
      <c r="D21" s="6" t="s">
        <v>183</v>
      </c>
      <c r="E21" s="25">
        <f>VLOOKUP(C21,'Bilanz Import'!A:B,2,FALSE)*1000000</f>
        <v>1005440000</v>
      </c>
      <c r="F21" s="25">
        <v>212670000</v>
      </c>
      <c r="G21" s="25">
        <v>213260000</v>
      </c>
      <c r="H21" s="25">
        <v>230330000</v>
      </c>
      <c r="I21" s="25">
        <v>262010000</v>
      </c>
      <c r="J21" s="25">
        <v>334260000</v>
      </c>
      <c r="K21" s="25">
        <v>375150000</v>
      </c>
      <c r="L21" s="25">
        <v>465650000</v>
      </c>
      <c r="M21" s="25">
        <v>703130000</v>
      </c>
    </row>
    <row r="22" spans="1:13" s="24" customFormat="1" x14ac:dyDescent="0.25">
      <c r="A22" s="318"/>
      <c r="B22" s="318"/>
      <c r="C22" s="10" t="s">
        <v>795</v>
      </c>
      <c r="D22" s="10" t="s">
        <v>183</v>
      </c>
      <c r="E22" s="24">
        <f>VLOOKUP(C22,'Bilanz Import'!A:B,2,FALSE)*1000000</f>
        <v>85000000</v>
      </c>
      <c r="F22" s="24">
        <v>85000000</v>
      </c>
      <c r="G22" s="24">
        <v>85000000</v>
      </c>
      <c r="H22" s="24">
        <v>85000000</v>
      </c>
      <c r="I22" s="24">
        <v>85000000</v>
      </c>
      <c r="J22" s="24">
        <v>85000000</v>
      </c>
      <c r="K22" s="24">
        <v>85000000</v>
      </c>
      <c r="L22" s="24">
        <v>85000000</v>
      </c>
      <c r="M22" s="24">
        <v>85000000</v>
      </c>
    </row>
    <row r="23" spans="1:13" s="25" customFormat="1" x14ac:dyDescent="0.25">
      <c r="A23" s="318"/>
      <c r="B23" s="318"/>
      <c r="C23" s="6" t="s">
        <v>154</v>
      </c>
      <c r="D23" s="6" t="s">
        <v>183</v>
      </c>
      <c r="E23" s="25">
        <f>VLOOKUP(C23,'Bilanz Import'!A:B,2,FALSE)*1000000</f>
        <v>741440000</v>
      </c>
      <c r="F23" s="25">
        <v>89820000</v>
      </c>
      <c r="G23" s="25">
        <v>89740000</v>
      </c>
      <c r="H23" s="25">
        <v>99540000</v>
      </c>
      <c r="I23" s="25">
        <v>118420000</v>
      </c>
      <c r="J23" s="25">
        <v>167280000</v>
      </c>
      <c r="K23" s="25">
        <v>190110000</v>
      </c>
      <c r="L23" s="25">
        <v>268960000</v>
      </c>
      <c r="M23" s="25">
        <v>471650000</v>
      </c>
    </row>
    <row r="24" spans="1:13" s="24" customFormat="1" x14ac:dyDescent="0.25">
      <c r="A24" s="318"/>
      <c r="B24" s="318"/>
      <c r="C24" s="10" t="s">
        <v>155</v>
      </c>
      <c r="D24" s="10" t="s">
        <v>183</v>
      </c>
      <c r="E24" s="24">
        <f>VLOOKUP(C24,'Bilanz Import'!A:B,2,FALSE)*1000000</f>
        <v>179000000</v>
      </c>
      <c r="F24" s="24">
        <v>37850000</v>
      </c>
      <c r="G24" s="24">
        <v>38520000</v>
      </c>
      <c r="H24" s="24">
        <v>45790000</v>
      </c>
      <c r="I24" s="24">
        <v>58590000</v>
      </c>
      <c r="J24" s="24">
        <v>81980000</v>
      </c>
      <c r="K24" s="24">
        <v>100040000</v>
      </c>
      <c r="L24" s="24">
        <v>111690000</v>
      </c>
      <c r="M24" s="24">
        <v>146480000</v>
      </c>
    </row>
    <row r="25" spans="1:13" s="25" customFormat="1" x14ac:dyDescent="0.25">
      <c r="A25" s="318"/>
      <c r="B25" s="318"/>
      <c r="C25" s="6" t="s">
        <v>156</v>
      </c>
      <c r="D25" s="6" t="s">
        <v>183</v>
      </c>
      <c r="E25" s="25">
        <f>VLOOKUP(C25,'Bilanz Import'!A:B,2,FALSE)*1000000</f>
        <v>14445440000</v>
      </c>
      <c r="F25" s="25">
        <v>2985150000</v>
      </c>
      <c r="G25" s="25">
        <v>2644610000</v>
      </c>
      <c r="H25" s="25">
        <v>3053840000</v>
      </c>
      <c r="I25" s="25">
        <v>3907930000</v>
      </c>
      <c r="J25" s="25">
        <v>5629940000</v>
      </c>
      <c r="K25" s="25">
        <v>11430770000</v>
      </c>
      <c r="L25" s="25">
        <v>11377300000</v>
      </c>
      <c r="M25" s="25">
        <v>12150660000</v>
      </c>
    </row>
    <row r="26" spans="1:13" s="26" customFormat="1" ht="7.5" customHeight="1" x14ac:dyDescent="0.25">
      <c r="A26" s="12"/>
      <c r="B26" s="12"/>
      <c r="C26" s="13"/>
      <c r="D26" s="13"/>
    </row>
    <row r="27" spans="1:13" s="24" customFormat="1" x14ac:dyDescent="0.25">
      <c r="A27" s="319" t="s">
        <v>158</v>
      </c>
      <c r="B27" s="319" t="s">
        <v>159</v>
      </c>
      <c r="C27" s="8" t="s">
        <v>160</v>
      </c>
      <c r="D27" s="8" t="s">
        <v>183</v>
      </c>
      <c r="E27" s="24">
        <f>VLOOKUP(C27,'Profit Loss Import'!A:B,2,FALSE)</f>
        <v>884055415.91700006</v>
      </c>
      <c r="F27" s="24">
        <v>119923059.708</v>
      </c>
      <c r="G27" s="24">
        <v>133500561.75</v>
      </c>
      <c r="H27" s="24">
        <v>169560277.90000001</v>
      </c>
      <c r="I27" s="24">
        <v>216822257.433</v>
      </c>
      <c r="J27" s="24">
        <v>311351899.333</v>
      </c>
      <c r="K27" s="24">
        <v>432314601.36699998</v>
      </c>
      <c r="L27" s="24">
        <v>522970058.24199998</v>
      </c>
      <c r="M27" s="24">
        <v>697476296.59200001</v>
      </c>
    </row>
    <row r="28" spans="1:13" s="25" customFormat="1" x14ac:dyDescent="0.25">
      <c r="A28" s="319"/>
      <c r="B28" s="319"/>
      <c r="C28" s="27" t="s">
        <v>161</v>
      </c>
      <c r="D28" s="27" t="s">
        <v>183</v>
      </c>
      <c r="E28" s="25">
        <f>VLOOKUP(C28,'Profit Loss Import'!A:B,2,FALSE)</f>
        <v>304713517.68300003</v>
      </c>
      <c r="F28" s="25">
        <v>102944677.683</v>
      </c>
      <c r="G28" s="25">
        <v>70133862.775000006</v>
      </c>
      <c r="H28" s="25">
        <v>85783879.708000004</v>
      </c>
      <c r="I28" s="25">
        <v>89802699.083000004</v>
      </c>
      <c r="J28" s="25">
        <v>124005373.692</v>
      </c>
      <c r="K28" s="25">
        <v>258838189.32499999</v>
      </c>
      <c r="L28" s="25">
        <v>234351795.958</v>
      </c>
      <c r="M28" s="25">
        <v>178720764.36700001</v>
      </c>
    </row>
    <row r="29" spans="1:13" s="24" customFormat="1" x14ac:dyDescent="0.25">
      <c r="A29" s="319"/>
      <c r="B29" s="319"/>
      <c r="C29" s="8" t="s">
        <v>162</v>
      </c>
      <c r="D29" s="8" t="s">
        <v>183</v>
      </c>
      <c r="E29" s="24">
        <f>VLOOKUP(C29,'Profit Loss Import'!A:B,2,FALSE)</f>
        <v>579341898.22500002</v>
      </c>
      <c r="F29" s="24">
        <v>16978382.008000001</v>
      </c>
      <c r="G29" s="24">
        <v>63366698.967</v>
      </c>
      <c r="H29" s="24">
        <v>83776398.192000002</v>
      </c>
      <c r="I29" s="24">
        <v>127019558.34999999</v>
      </c>
      <c r="J29" s="24">
        <v>187346525.65000001</v>
      </c>
      <c r="K29" s="24">
        <v>173476412.042</v>
      </c>
      <c r="L29" s="24">
        <v>288618262.27499998</v>
      </c>
      <c r="M29" s="24">
        <v>518755532.23299998</v>
      </c>
    </row>
    <row r="30" spans="1:13" s="25" customFormat="1" x14ac:dyDescent="0.25">
      <c r="A30" s="319"/>
      <c r="B30" s="319"/>
      <c r="C30" s="27" t="s">
        <v>163</v>
      </c>
      <c r="D30" s="27" t="s">
        <v>183</v>
      </c>
      <c r="E30" s="25">
        <f>VLOOKUP(C30,'Profit Loss Import'!A:B,2,FALSE)</f>
        <v>85964030.924999997</v>
      </c>
      <c r="F30" s="25">
        <v>18376407.975000001</v>
      </c>
      <c r="G30" s="25">
        <v>17968071.899999999</v>
      </c>
      <c r="H30" s="25">
        <v>21846964.142000001</v>
      </c>
      <c r="I30" s="25">
        <v>27085816.291999999</v>
      </c>
      <c r="J30" s="25">
        <v>37432187.200000003</v>
      </c>
      <c r="K30" s="25">
        <v>47982756.082999997</v>
      </c>
      <c r="L30" s="25">
        <v>54617400.799999997</v>
      </c>
      <c r="M30" s="25">
        <v>67852892.599999994</v>
      </c>
    </row>
    <row r="31" spans="1:13" s="24" customFormat="1" x14ac:dyDescent="0.25">
      <c r="A31" s="319"/>
      <c r="B31" s="319"/>
      <c r="C31" s="8" t="s">
        <v>164</v>
      </c>
      <c r="D31" s="8" t="s">
        <v>183</v>
      </c>
      <c r="E31" s="24">
        <f>VLOOKUP(C31,'Profit Loss Import'!A:B,2,FALSE)</f>
        <v>493377867.30800003</v>
      </c>
      <c r="F31" s="24">
        <v>-1398025.942</v>
      </c>
      <c r="G31" s="24">
        <v>45398627.067000002</v>
      </c>
      <c r="H31" s="24">
        <v>61929434.049999997</v>
      </c>
      <c r="I31" s="24">
        <v>99933742.049999997</v>
      </c>
      <c r="J31" s="24">
        <v>149914338.458</v>
      </c>
      <c r="K31" s="24">
        <v>125493655.942</v>
      </c>
      <c r="L31" s="24">
        <v>234000861.46700001</v>
      </c>
      <c r="M31" s="24">
        <v>450902639.625</v>
      </c>
    </row>
    <row r="32" spans="1:13" s="25" customFormat="1" x14ac:dyDescent="0.25">
      <c r="A32" s="319"/>
      <c r="B32" s="319" t="s">
        <v>165</v>
      </c>
      <c r="C32" s="27" t="s">
        <v>166</v>
      </c>
      <c r="D32" s="27" t="s">
        <v>183</v>
      </c>
      <c r="E32" s="25">
        <f>VLOOKUP(C32,'Profit Loss Import'!A:B,2,FALSE)</f>
        <v>76969431.908000007</v>
      </c>
      <c r="F32" s="25">
        <v>9164704.8000000007</v>
      </c>
      <c r="G32" s="25">
        <v>14284180.017000001</v>
      </c>
      <c r="H32" s="25">
        <v>18117598.642000001</v>
      </c>
      <c r="I32" s="25">
        <v>25477659.642000001</v>
      </c>
      <c r="J32" s="25">
        <v>41462130.549999997</v>
      </c>
      <c r="K32" s="25">
        <v>43708160.741999999</v>
      </c>
      <c r="L32" s="25">
        <v>44380913.817000002</v>
      </c>
      <c r="M32" s="25">
        <v>76041779.575000003</v>
      </c>
    </row>
    <row r="33" spans="1:13" s="24" customFormat="1" x14ac:dyDescent="0.25">
      <c r="A33" s="319"/>
      <c r="B33" s="319"/>
      <c r="C33" s="8" t="s">
        <v>167</v>
      </c>
      <c r="D33" s="8" t="s">
        <v>183</v>
      </c>
      <c r="E33" s="24">
        <f>VLOOKUP(C33,'Profit Loss Import'!A:B,2,FALSE)</f>
        <v>0</v>
      </c>
      <c r="F33" s="24">
        <v>11100000</v>
      </c>
      <c r="G33" s="24">
        <v>4000000</v>
      </c>
      <c r="H33" s="24">
        <v>2000000</v>
      </c>
      <c r="I33" s="24">
        <v>2000000</v>
      </c>
      <c r="J33" s="24">
        <v>0</v>
      </c>
      <c r="K33" s="24">
        <v>0</v>
      </c>
      <c r="L33" s="24">
        <v>0</v>
      </c>
      <c r="M33" s="24">
        <v>0</v>
      </c>
    </row>
    <row r="34" spans="1:13" s="25" customFormat="1" x14ac:dyDescent="0.25">
      <c r="A34" s="319"/>
      <c r="B34" s="319"/>
      <c r="C34" s="27" t="s">
        <v>168</v>
      </c>
      <c r="D34" s="27" t="s">
        <v>183</v>
      </c>
      <c r="E34" s="25">
        <f>VLOOKUP(C34,'Profit Loss Import'!A:B,2,FALSE)</f>
        <v>0</v>
      </c>
      <c r="F34" s="25">
        <v>0</v>
      </c>
      <c r="G34" s="25">
        <v>0</v>
      </c>
      <c r="H34" s="25">
        <v>0</v>
      </c>
      <c r="I34" s="25">
        <v>0</v>
      </c>
      <c r="J34" s="25">
        <v>0</v>
      </c>
      <c r="K34" s="25">
        <v>0</v>
      </c>
      <c r="L34" s="25">
        <v>0</v>
      </c>
      <c r="M34" s="25">
        <v>0</v>
      </c>
    </row>
    <row r="35" spans="1:13" s="24" customFormat="1" x14ac:dyDescent="0.25">
      <c r="A35" s="319"/>
      <c r="B35" s="319"/>
      <c r="C35" s="8" t="s">
        <v>169</v>
      </c>
      <c r="D35" s="8" t="s">
        <v>183</v>
      </c>
      <c r="E35" s="24">
        <f>VLOOKUP(C35,'Profit Loss Import'!A:B,2,FALSE)</f>
        <v>76969431.908000007</v>
      </c>
      <c r="F35" s="24">
        <v>20264704.800000001</v>
      </c>
      <c r="G35" s="24">
        <v>18284180.017000001</v>
      </c>
      <c r="H35" s="24">
        <v>20117598.642000001</v>
      </c>
      <c r="I35" s="24">
        <v>27477659.642000001</v>
      </c>
      <c r="J35" s="24">
        <v>41462130.549999997</v>
      </c>
      <c r="K35" s="24">
        <v>43708160.741999999</v>
      </c>
      <c r="L35" s="24">
        <v>44380913.817000002</v>
      </c>
      <c r="M35" s="24">
        <v>76041779.575000003</v>
      </c>
    </row>
    <row r="36" spans="1:13" s="25" customFormat="1" x14ac:dyDescent="0.25">
      <c r="A36" s="319"/>
      <c r="B36" s="319" t="s">
        <v>170</v>
      </c>
      <c r="C36" s="27" t="s">
        <v>171</v>
      </c>
      <c r="D36" s="27" t="s">
        <v>183</v>
      </c>
      <c r="E36" s="25">
        <f>VLOOKUP(C36,'Profit Loss Import'!A:B,2,FALSE)</f>
        <v>28243520.416999999</v>
      </c>
      <c r="F36" s="25">
        <v>5349874.2170000002</v>
      </c>
      <c r="G36" s="25">
        <v>5317571.5669999998</v>
      </c>
      <c r="H36" s="25">
        <v>5285463.95</v>
      </c>
      <c r="I36" s="25">
        <v>8246648.1749999998</v>
      </c>
      <c r="J36" s="25">
        <v>8198417.8080000002</v>
      </c>
      <c r="K36" s="25">
        <v>8150469.517</v>
      </c>
      <c r="L36" s="25">
        <v>9000726.4580000006</v>
      </c>
      <c r="M36" s="25">
        <v>28403323.442000002</v>
      </c>
    </row>
    <row r="37" spans="1:13" s="24" customFormat="1" x14ac:dyDescent="0.25">
      <c r="A37" s="319"/>
      <c r="B37" s="319"/>
      <c r="C37" s="8" t="s">
        <v>172</v>
      </c>
      <c r="D37" s="8" t="s">
        <v>183</v>
      </c>
      <c r="E37" s="24">
        <f>VLOOKUP(C37,'Profit Loss Import'!A:B,2,FALSE)</f>
        <v>116541951.692</v>
      </c>
      <c r="F37" s="24">
        <v>34968370.424999997</v>
      </c>
      <c r="G37" s="24">
        <v>34702078.850000001</v>
      </c>
      <c r="H37" s="24">
        <v>37958824.692000002</v>
      </c>
      <c r="I37" s="24">
        <v>56557495.783</v>
      </c>
      <c r="J37" s="24">
        <v>63479585.067000002</v>
      </c>
      <c r="K37" s="24">
        <v>87908013.333000004</v>
      </c>
      <c r="L37" s="24">
        <v>97084715.216999993</v>
      </c>
      <c r="M37" s="24">
        <v>119135004.27500001</v>
      </c>
    </row>
    <row r="38" spans="1:13" s="25" customFormat="1" x14ac:dyDescent="0.25">
      <c r="A38" s="319"/>
      <c r="B38" s="319"/>
      <c r="C38" s="27" t="s">
        <v>173</v>
      </c>
      <c r="D38" s="27" t="s">
        <v>183</v>
      </c>
      <c r="E38" s="25">
        <f>VLOOKUP(C38,'Profit Loss Import'!A:B,2,FALSE)</f>
        <v>2737239.8330000001</v>
      </c>
      <c r="F38" s="25">
        <v>3838386.4670000002</v>
      </c>
      <c r="G38" s="25">
        <v>3808242.2</v>
      </c>
      <c r="H38" s="25">
        <v>4509158.6919999998</v>
      </c>
      <c r="I38" s="25">
        <v>5821295.0329999998</v>
      </c>
      <c r="J38" s="25">
        <v>7240445.9330000002</v>
      </c>
      <c r="K38" s="25">
        <v>7493257.4170000004</v>
      </c>
      <c r="L38" s="25">
        <v>5154697.55</v>
      </c>
      <c r="M38" s="25">
        <v>3962536.142</v>
      </c>
    </row>
    <row r="39" spans="1:13" s="24" customFormat="1" x14ac:dyDescent="0.25">
      <c r="A39" s="319"/>
      <c r="B39" s="319"/>
      <c r="C39" s="8" t="s">
        <v>174</v>
      </c>
      <c r="D39" s="8" t="s">
        <v>183</v>
      </c>
      <c r="E39" s="24">
        <f>VLOOKUP(C39,'Profit Loss Import'!A:B,2,FALSE)</f>
        <v>13750000</v>
      </c>
      <c r="F39" s="24">
        <v>3960000</v>
      </c>
      <c r="G39" s="24">
        <v>2210000</v>
      </c>
      <c r="H39" s="24">
        <v>2210000</v>
      </c>
      <c r="I39" s="24">
        <v>3000000</v>
      </c>
      <c r="J39" s="24">
        <v>6000000</v>
      </c>
      <c r="K39" s="24">
        <v>13500000</v>
      </c>
      <c r="L39" s="24">
        <v>11000000</v>
      </c>
      <c r="M39" s="24">
        <v>13750000</v>
      </c>
    </row>
    <row r="40" spans="1:13" s="25" customFormat="1" x14ac:dyDescent="0.25">
      <c r="A40" s="319"/>
      <c r="B40" s="319"/>
      <c r="C40" s="27" t="s">
        <v>175</v>
      </c>
      <c r="D40" s="27" t="s">
        <v>183</v>
      </c>
      <c r="E40" s="25">
        <f>VLOOKUP(C40,'Profit Loss Import'!A:B,2,FALSE)</f>
        <v>1934445.2749999999</v>
      </c>
      <c r="F40" s="25">
        <v>1817923.9080000001</v>
      </c>
      <c r="G40" s="25">
        <v>1825129.483</v>
      </c>
      <c r="H40" s="25">
        <v>1648858.3330000001</v>
      </c>
      <c r="I40" s="25">
        <v>1856690.175</v>
      </c>
      <c r="J40" s="25">
        <v>1769774.142</v>
      </c>
      <c r="K40" s="25">
        <v>1723399.642</v>
      </c>
      <c r="L40" s="25">
        <v>2088462.75</v>
      </c>
      <c r="M40" s="25">
        <v>2110571.642</v>
      </c>
    </row>
    <row r="41" spans="1:13" s="24" customFormat="1" x14ac:dyDescent="0.25">
      <c r="A41" s="319"/>
      <c r="B41" s="319"/>
      <c r="C41" s="8" t="s">
        <v>176</v>
      </c>
      <c r="D41" s="8" t="s">
        <v>183</v>
      </c>
      <c r="E41" s="24">
        <f>VLOOKUP(C41,'Profit Loss Import'!A:B,2,FALSE)</f>
        <v>25193282.875</v>
      </c>
      <c r="F41" s="24">
        <v>7773471.6579999998</v>
      </c>
      <c r="G41" s="24">
        <v>7732061.0999999996</v>
      </c>
      <c r="H41" s="24">
        <v>11259895.442</v>
      </c>
      <c r="I41" s="24">
        <v>20993796.192000002</v>
      </c>
      <c r="J41" s="24">
        <v>26689050.383000001</v>
      </c>
      <c r="K41" s="24">
        <v>23699268.366999999</v>
      </c>
      <c r="L41" s="24">
        <v>25413424.107999999</v>
      </c>
      <c r="M41" s="24">
        <v>27422908.482999999</v>
      </c>
    </row>
    <row r="42" spans="1:13" s="25" customFormat="1" x14ac:dyDescent="0.25">
      <c r="A42" s="319"/>
      <c r="B42" s="319"/>
      <c r="C42" s="27" t="s">
        <v>177</v>
      </c>
      <c r="D42" s="27" t="s">
        <v>183</v>
      </c>
      <c r="E42" s="25">
        <f>VLOOKUP(C42,'Profit Loss Import'!A:B,2,FALSE)</f>
        <v>188400440.09200001</v>
      </c>
      <c r="F42" s="25">
        <v>57708026.649999999</v>
      </c>
      <c r="G42" s="25">
        <v>55595083.200000003</v>
      </c>
      <c r="H42" s="25">
        <v>62872201.125</v>
      </c>
      <c r="I42" s="25">
        <v>96475925.349999994</v>
      </c>
      <c r="J42" s="25">
        <v>113377273.333</v>
      </c>
      <c r="K42" s="25">
        <v>142474408.26699999</v>
      </c>
      <c r="L42" s="25">
        <v>149742026.083</v>
      </c>
      <c r="M42" s="25">
        <v>194784343.96700001</v>
      </c>
    </row>
    <row r="43" spans="1:13" s="24" customFormat="1" x14ac:dyDescent="0.25">
      <c r="A43" s="319"/>
      <c r="B43" s="319"/>
      <c r="C43" s="8" t="s">
        <v>178</v>
      </c>
      <c r="D43" s="8" t="s">
        <v>183</v>
      </c>
      <c r="E43" s="24">
        <f>VLOOKUP(C43,'Profit Loss Import'!A:B,2,FALSE)</f>
        <v>381946859.13300002</v>
      </c>
      <c r="F43" s="24">
        <v>-38841347.806999996</v>
      </c>
      <c r="G43" s="24">
        <v>8087723.9079999998</v>
      </c>
      <c r="H43" s="24">
        <v>19174831.574999999</v>
      </c>
      <c r="I43" s="24">
        <v>30935476.350000001</v>
      </c>
      <c r="J43" s="24">
        <v>77999195.674999997</v>
      </c>
      <c r="K43" s="24">
        <v>26727408.436999999</v>
      </c>
      <c r="L43" s="24">
        <v>128639749.2</v>
      </c>
      <c r="M43" s="24">
        <v>332160075.23299998</v>
      </c>
    </row>
    <row r="44" spans="1:13" s="25" customFormat="1" x14ac:dyDescent="0.25">
      <c r="A44" s="319"/>
      <c r="B44" s="319"/>
      <c r="C44" s="27" t="s">
        <v>179</v>
      </c>
      <c r="D44" s="27" t="s">
        <v>183</v>
      </c>
      <c r="E44" s="25">
        <f>VLOOKUP(C44,'Profit Loss Import'!A:B,2,FALSE)</f>
        <v>114584057.742</v>
      </c>
      <c r="F44" s="25">
        <v>-11652404.342</v>
      </c>
      <c r="G44" s="25">
        <v>2426317.165</v>
      </c>
      <c r="H44" s="25">
        <v>5752449.4749999996</v>
      </c>
      <c r="I44" s="25">
        <v>9280642.9079999998</v>
      </c>
      <c r="J44" s="25">
        <v>23399758.699999999</v>
      </c>
      <c r="K44" s="25">
        <v>8018222.5329999998</v>
      </c>
      <c r="L44" s="25">
        <v>38591924.774999999</v>
      </c>
      <c r="M44" s="25">
        <v>99648022.557999998</v>
      </c>
    </row>
    <row r="45" spans="1:13" s="24" customFormat="1" x14ac:dyDescent="0.25">
      <c r="A45" s="319"/>
      <c r="B45" s="319"/>
      <c r="C45" s="8" t="s">
        <v>180</v>
      </c>
      <c r="D45" s="8" t="s">
        <v>183</v>
      </c>
      <c r="E45" s="24">
        <f>VLOOKUP(C45,'Profit Loss Import'!A:B,2,FALSE)</f>
        <v>267362801.40000001</v>
      </c>
      <c r="F45" s="24">
        <v>-27188943.465</v>
      </c>
      <c r="G45" s="24">
        <v>5661406.7340000002</v>
      </c>
      <c r="H45" s="24">
        <v>13422382.1</v>
      </c>
      <c r="I45" s="24">
        <v>21654833.449999999</v>
      </c>
      <c r="J45" s="24">
        <v>54599436.975000001</v>
      </c>
      <c r="K45" s="24">
        <v>18709185.903999999</v>
      </c>
      <c r="L45" s="24">
        <v>90047824.450000003</v>
      </c>
      <c r="M45" s="24">
        <v>232512052.65799999</v>
      </c>
    </row>
    <row r="46" spans="1:13" s="26" customFormat="1" ht="7.5" customHeight="1" x14ac:dyDescent="0.25">
      <c r="A46" s="12"/>
      <c r="B46" s="12"/>
      <c r="C46" s="13"/>
      <c r="D46" s="13"/>
    </row>
    <row r="47" spans="1:13" s="27" customFormat="1" x14ac:dyDescent="0.25">
      <c r="A47" s="319" t="s">
        <v>602</v>
      </c>
      <c r="B47" s="319" t="s">
        <v>603</v>
      </c>
      <c r="C47" s="27" t="s">
        <v>604</v>
      </c>
      <c r="D47" s="27" t="s">
        <v>638</v>
      </c>
      <c r="E47" s="25">
        <f>VALUE(LEFT('Process Development'!B4,LEN('Process Development'!B4)-LEN(D47)))</f>
        <v>172458.9</v>
      </c>
      <c r="F47" s="25">
        <v>61334.8</v>
      </c>
      <c r="G47" s="25">
        <v>42060.9</v>
      </c>
      <c r="H47" s="25">
        <v>44901.2</v>
      </c>
      <c r="I47" s="25">
        <v>60048.2</v>
      </c>
      <c r="J47" s="27">
        <v>95066.5</v>
      </c>
      <c r="K47" s="27">
        <v>96794.1</v>
      </c>
      <c r="L47" s="27">
        <v>97909.8</v>
      </c>
      <c r="M47" s="27">
        <v>171132.79999999999</v>
      </c>
    </row>
    <row r="48" spans="1:13" s="8" customFormat="1" x14ac:dyDescent="0.25">
      <c r="A48" s="319"/>
      <c r="B48" s="319"/>
      <c r="C48" s="8" t="s">
        <v>605</v>
      </c>
      <c r="D48" s="8" t="s">
        <v>638</v>
      </c>
      <c r="E48" s="24">
        <f>VALUE(LEFT('Process Development'!B5,LEN('Process Development'!B5)-LEN(D48)))</f>
        <v>215573.6</v>
      </c>
      <c r="F48" s="24">
        <v>76668.399999999994</v>
      </c>
      <c r="G48" s="24">
        <v>52576.2</v>
      </c>
      <c r="H48" s="24">
        <v>56126.5</v>
      </c>
      <c r="I48" s="24">
        <v>75060.2</v>
      </c>
      <c r="J48" s="8">
        <v>118833.2</v>
      </c>
      <c r="K48" s="8">
        <v>120992.7</v>
      </c>
      <c r="L48" s="8">
        <v>122387.2</v>
      </c>
      <c r="M48" s="8">
        <v>213916</v>
      </c>
    </row>
    <row r="49" spans="1:13" s="27" customFormat="1" x14ac:dyDescent="0.25">
      <c r="A49" s="319"/>
      <c r="B49" s="319"/>
      <c r="C49" s="27" t="s">
        <v>606</v>
      </c>
      <c r="D49" s="27" t="s">
        <v>638</v>
      </c>
      <c r="E49" s="25">
        <f>VALUE(LEFT('Process Development'!B6,LEN('Process Development'!B6)-LEN(D49)))</f>
        <v>43114.7</v>
      </c>
      <c r="F49" s="25">
        <v>15333.7</v>
      </c>
      <c r="G49" s="25">
        <v>10515.2</v>
      </c>
      <c r="H49" s="25">
        <v>11225.3</v>
      </c>
      <c r="I49" s="25">
        <v>15012</v>
      </c>
      <c r="J49" s="27">
        <v>23766.6</v>
      </c>
      <c r="K49" s="27">
        <v>24198.5</v>
      </c>
      <c r="L49" s="27">
        <v>24477.4</v>
      </c>
      <c r="M49" s="27">
        <v>42783.199999999997</v>
      </c>
    </row>
    <row r="50" spans="1:13" s="8" customFormat="1" x14ac:dyDescent="0.25">
      <c r="A50" s="319"/>
      <c r="B50" s="319"/>
      <c r="C50" s="8" t="s">
        <v>607</v>
      </c>
      <c r="D50" s="8" t="s">
        <v>638</v>
      </c>
      <c r="E50" s="24">
        <f>VALUE(LEFT('Process Development'!B7,LEN('Process Development'!B7)-LEN(D50)))</f>
        <v>164068.4</v>
      </c>
      <c r="F50" s="24">
        <v>18870.099999999999</v>
      </c>
      <c r="G50" s="24">
        <v>29643.3</v>
      </c>
      <c r="H50" s="24">
        <v>39267.199999999997</v>
      </c>
      <c r="I50" s="24">
        <v>57070.9</v>
      </c>
      <c r="J50" s="8">
        <v>90835.7</v>
      </c>
      <c r="K50" s="8">
        <v>93198.3</v>
      </c>
      <c r="L50" s="8">
        <v>93869.4</v>
      </c>
      <c r="M50" s="8">
        <v>163166.39999999999</v>
      </c>
    </row>
    <row r="51" spans="1:13" s="27" customFormat="1" x14ac:dyDescent="0.25">
      <c r="A51" s="319"/>
      <c r="B51" s="319"/>
      <c r="C51" s="27" t="s">
        <v>608</v>
      </c>
      <c r="D51" s="27" t="s">
        <v>638</v>
      </c>
      <c r="E51" s="25">
        <f>VALUE(LEFT('Process Development'!B8,LEN('Process Development'!B8)-LEN(D51)))</f>
        <v>205085.5</v>
      </c>
      <c r="F51" s="25">
        <v>23587.7</v>
      </c>
      <c r="G51" s="25">
        <v>37054.1</v>
      </c>
      <c r="H51" s="25">
        <v>49084</v>
      </c>
      <c r="I51" s="25">
        <v>71338.600000000006</v>
      </c>
      <c r="J51" s="27">
        <v>113544.6</v>
      </c>
      <c r="K51" s="27">
        <v>116497.9</v>
      </c>
      <c r="L51" s="27">
        <v>117336.8</v>
      </c>
      <c r="M51" s="27">
        <v>203958</v>
      </c>
    </row>
    <row r="52" spans="1:13" s="8" customFormat="1" x14ac:dyDescent="0.25">
      <c r="A52" s="319"/>
      <c r="B52" s="319"/>
      <c r="C52" s="8" t="s">
        <v>609</v>
      </c>
      <c r="D52" s="8" t="s">
        <v>638</v>
      </c>
      <c r="E52" s="24">
        <f>VALUE(LEFT('Process Development'!B9,LEN('Process Development'!B9)-LEN(D52)))</f>
        <v>41017.1</v>
      </c>
      <c r="F52" s="24">
        <v>4717.5</v>
      </c>
      <c r="G52" s="24">
        <v>7410.8</v>
      </c>
      <c r="H52" s="24">
        <v>9816.7999999999993</v>
      </c>
      <c r="I52" s="24">
        <v>14267.7</v>
      </c>
      <c r="J52" s="8">
        <v>22708.9</v>
      </c>
      <c r="K52" s="8">
        <v>23299.599999999999</v>
      </c>
      <c r="L52" s="8">
        <v>23467.4</v>
      </c>
      <c r="M52" s="8">
        <v>40791.599999999999</v>
      </c>
    </row>
    <row r="53" spans="1:13" s="27" customFormat="1" x14ac:dyDescent="0.25">
      <c r="A53" s="319"/>
      <c r="B53" s="319"/>
      <c r="C53" s="27" t="s">
        <v>610</v>
      </c>
      <c r="D53" s="27" t="s">
        <v>125</v>
      </c>
      <c r="E53" s="170">
        <f>VALUE(LEFT('Process Development'!B10,LEN('Process Development'!B10)-LEN(D53)))</f>
        <v>0.04</v>
      </c>
      <c r="F53" s="170">
        <v>5.8999999999999997E-2</v>
      </c>
      <c r="G53" s="170">
        <v>5.8999999999999997E-2</v>
      </c>
      <c r="H53" s="170">
        <v>5.3999999999999999E-2</v>
      </c>
      <c r="I53" s="170">
        <v>0.05</v>
      </c>
      <c r="J53" s="27">
        <v>4.4999999999999998E-2</v>
      </c>
      <c r="K53" s="27">
        <v>3.6999999999999998E-2</v>
      </c>
      <c r="L53" s="27">
        <v>4.1000000000000002E-2</v>
      </c>
      <c r="M53" s="27">
        <v>4.7E-2</v>
      </c>
    </row>
    <row r="54" spans="1:13" s="8" customFormat="1" x14ac:dyDescent="0.25">
      <c r="A54" s="319"/>
      <c r="B54" s="319"/>
      <c r="C54" s="8" t="s">
        <v>611</v>
      </c>
      <c r="D54" s="8" t="s">
        <v>125</v>
      </c>
      <c r="E54" s="171">
        <f>VALUE(LEFT('Process Development'!B11,LEN('Process Development'!B11)-LEN(D54)))</f>
        <v>0.95</v>
      </c>
      <c r="F54" s="171">
        <v>0.308</v>
      </c>
      <c r="G54" s="171">
        <v>0.70499999999999996</v>
      </c>
      <c r="H54" s="171">
        <v>0.875</v>
      </c>
      <c r="I54" s="171">
        <v>0.95</v>
      </c>
      <c r="J54" s="8">
        <v>0.95499999999999996</v>
      </c>
      <c r="K54" s="8">
        <v>0.96299999999999997</v>
      </c>
      <c r="L54" s="8">
        <v>0.95899999999999996</v>
      </c>
      <c r="M54" s="8">
        <v>0.95299999999999996</v>
      </c>
    </row>
    <row r="55" spans="1:13" s="27" customFormat="1" x14ac:dyDescent="0.25">
      <c r="A55" s="319"/>
      <c r="B55" s="319"/>
      <c r="C55" s="27" t="s">
        <v>612</v>
      </c>
      <c r="D55" s="27" t="s">
        <v>263</v>
      </c>
      <c r="E55" s="25">
        <f>VALUE(LEFT('Process Development'!B12,LEN('Process Development'!B12)-LEN(D55)))</f>
        <v>241.1</v>
      </c>
      <c r="F55" s="25">
        <v>174.5</v>
      </c>
      <c r="G55" s="25">
        <v>174.3</v>
      </c>
      <c r="H55" s="25">
        <v>240.8</v>
      </c>
      <c r="I55" s="25">
        <v>438.1</v>
      </c>
      <c r="J55" s="27">
        <v>434.8</v>
      </c>
      <c r="K55" s="27">
        <v>430.6</v>
      </c>
      <c r="L55" s="27">
        <v>374.9</v>
      </c>
      <c r="M55" s="27">
        <v>364.1</v>
      </c>
    </row>
    <row r="56" spans="1:13" s="8" customFormat="1" x14ac:dyDescent="0.25">
      <c r="A56" s="319"/>
      <c r="B56" s="319"/>
      <c r="C56" s="8" t="s">
        <v>613</v>
      </c>
      <c r="D56" s="8" t="s">
        <v>125</v>
      </c>
      <c r="E56" s="171">
        <f>VALUE(LEFT('Process Development'!B13,LEN('Process Development'!B13)-LEN(D56)))</f>
        <v>0.63</v>
      </c>
      <c r="F56" s="171">
        <v>1</v>
      </c>
      <c r="G56" s="171">
        <v>1</v>
      </c>
      <c r="H56" s="171">
        <v>1</v>
      </c>
      <c r="I56" s="171">
        <v>0.434</v>
      </c>
      <c r="J56" s="8">
        <v>0.47699999999999998</v>
      </c>
      <c r="K56" s="8">
        <v>0.373</v>
      </c>
      <c r="L56" s="8">
        <v>0.30299999999999999</v>
      </c>
      <c r="M56" s="8">
        <v>0.46700000000000003</v>
      </c>
    </row>
    <row r="57" spans="1:13" s="27" customFormat="1" x14ac:dyDescent="0.25">
      <c r="A57" s="319"/>
      <c r="B57" s="319"/>
      <c r="C57" s="27" t="s">
        <v>614</v>
      </c>
      <c r="D57" s="27" t="s">
        <v>125</v>
      </c>
      <c r="E57" s="170">
        <f>VALUE(LEFT('Process Development'!B14,LEN('Process Development'!B14)-LEN(D57)))</f>
        <v>0.04</v>
      </c>
      <c r="F57" s="170">
        <v>0.79800000000000004</v>
      </c>
      <c r="G57" s="170">
        <v>0.73799999999999999</v>
      </c>
      <c r="H57" s="170">
        <v>0.72499999999999998</v>
      </c>
      <c r="I57" s="170">
        <v>0.70599999999999996</v>
      </c>
      <c r="J57" s="27">
        <v>0.57699999999999996</v>
      </c>
      <c r="K57" s="27">
        <v>0.42099999999999999</v>
      </c>
      <c r="L57" s="27">
        <v>0.24099999999999999</v>
      </c>
      <c r="M57" s="27">
        <v>9.8000000000000004E-2</v>
      </c>
    </row>
    <row r="58" spans="1:13" s="8" customFormat="1" x14ac:dyDescent="0.25">
      <c r="A58" s="319"/>
      <c r="B58" s="319"/>
      <c r="C58" s="8" t="s">
        <v>615</v>
      </c>
      <c r="D58" s="8" t="s">
        <v>639</v>
      </c>
      <c r="E58" s="24">
        <f>VALUE(LEFT('Process Development'!B15,LEN('Process Development'!B15)-LEN(D58)))</f>
        <v>55.5</v>
      </c>
      <c r="F58" s="24">
        <v>2.2000000000000002</v>
      </c>
      <c r="G58" s="24">
        <v>2.4</v>
      </c>
      <c r="H58" s="24">
        <v>3.3</v>
      </c>
      <c r="I58" s="24">
        <v>6.2</v>
      </c>
      <c r="J58" s="8">
        <v>7.5</v>
      </c>
      <c r="K58" s="8">
        <v>10.199999999999999</v>
      </c>
      <c r="L58" s="8">
        <v>15.6</v>
      </c>
      <c r="M58" s="8">
        <v>37.200000000000003</v>
      </c>
    </row>
    <row r="59" spans="1:13" s="27" customFormat="1" x14ac:dyDescent="0.25">
      <c r="A59" s="319"/>
      <c r="B59" s="319"/>
      <c r="C59" s="27" t="s">
        <v>616</v>
      </c>
      <c r="D59" s="27" t="s">
        <v>265</v>
      </c>
      <c r="E59" s="25">
        <f>VALUE(LEFT('Process Development'!B16,LEN('Process Development'!B16)-LEN(D59)))</f>
        <v>322.10000000000002</v>
      </c>
      <c r="F59" s="25">
        <v>97.7</v>
      </c>
      <c r="G59" s="25">
        <v>173.1</v>
      </c>
      <c r="H59" s="25">
        <v>241.5</v>
      </c>
      <c r="I59" s="25">
        <v>439.9</v>
      </c>
      <c r="J59" s="27">
        <v>436.5</v>
      </c>
      <c r="K59" s="27">
        <v>432.8</v>
      </c>
      <c r="L59" s="27">
        <v>428.9</v>
      </c>
      <c r="M59" s="27">
        <v>325.5</v>
      </c>
    </row>
    <row r="60" spans="1:13" s="8" customFormat="1" x14ac:dyDescent="0.25">
      <c r="A60" s="319"/>
      <c r="B60" s="319"/>
      <c r="C60" s="8" t="s">
        <v>617</v>
      </c>
      <c r="D60" s="8" t="s">
        <v>264</v>
      </c>
      <c r="E60" s="24">
        <f>VALUE(LEFT('Process Development'!B17,LEN('Process Development'!B17)-LEN(D60)))</f>
        <v>1706</v>
      </c>
      <c r="F60" s="24">
        <v>500</v>
      </c>
      <c r="G60" s="24">
        <v>872.3</v>
      </c>
      <c r="H60" s="24">
        <v>1216.5999999999999</v>
      </c>
      <c r="I60" s="24">
        <v>2206</v>
      </c>
      <c r="J60" s="8">
        <v>2206</v>
      </c>
      <c r="K60" s="8">
        <v>2206</v>
      </c>
      <c r="L60" s="8">
        <v>2206</v>
      </c>
      <c r="M60" s="8">
        <v>1706</v>
      </c>
    </row>
    <row r="61" spans="1:13" s="27" customFormat="1" x14ac:dyDescent="0.25">
      <c r="A61" s="319"/>
      <c r="B61" s="319"/>
      <c r="C61" s="27" t="s">
        <v>618</v>
      </c>
      <c r="D61" s="27" t="s">
        <v>640</v>
      </c>
      <c r="E61" s="25">
        <f>VALUE(LEFT('Process Development'!B18,LEN('Process Development'!B18)-LEN(D61)))</f>
        <v>97.8</v>
      </c>
      <c r="F61" s="25">
        <v>97.8</v>
      </c>
      <c r="G61" s="25">
        <v>97.8</v>
      </c>
      <c r="H61" s="25">
        <v>97.8</v>
      </c>
      <c r="I61" s="25">
        <v>97.8</v>
      </c>
      <c r="J61" s="27">
        <v>97.8</v>
      </c>
      <c r="K61" s="27">
        <v>97.8</v>
      </c>
      <c r="L61" s="27">
        <v>97.8</v>
      </c>
      <c r="M61" s="27">
        <v>97.8</v>
      </c>
    </row>
    <row r="62" spans="1:13" s="8" customFormat="1" x14ac:dyDescent="0.25">
      <c r="A62" s="319"/>
      <c r="B62" s="319" t="s">
        <v>619</v>
      </c>
      <c r="C62" s="8" t="s">
        <v>620</v>
      </c>
      <c r="D62" s="8" t="s">
        <v>638</v>
      </c>
      <c r="E62" s="24">
        <f>VALUE(LEFT('Process Development'!D4,LEN('Process Development'!D4)-LEN(D62)))</f>
        <v>164068.4</v>
      </c>
      <c r="F62" s="24">
        <v>18870.099999999999</v>
      </c>
      <c r="G62" s="24">
        <v>29643.3</v>
      </c>
      <c r="H62" s="24">
        <v>39267.199999999997</v>
      </c>
      <c r="I62" s="24">
        <v>57070.9</v>
      </c>
      <c r="J62" s="8">
        <v>90835.7</v>
      </c>
      <c r="K62" s="8">
        <v>93198.3</v>
      </c>
      <c r="L62" s="8">
        <v>93869.4</v>
      </c>
      <c r="M62" s="8">
        <v>163166.39999999999</v>
      </c>
    </row>
    <row r="63" spans="1:13" s="27" customFormat="1" x14ac:dyDescent="0.25">
      <c r="A63" s="319"/>
      <c r="B63" s="319"/>
      <c r="C63" s="27" t="s">
        <v>621</v>
      </c>
      <c r="D63" s="27" t="s">
        <v>638</v>
      </c>
      <c r="E63" s="25">
        <f>VALUE(LEFT('Process Development'!D5,LEN('Process Development'!D5)-LEN(D63)))</f>
        <v>205085.5</v>
      </c>
      <c r="F63" s="25">
        <v>23587.7</v>
      </c>
      <c r="G63" s="25">
        <v>37054.1</v>
      </c>
      <c r="H63" s="25">
        <v>49084</v>
      </c>
      <c r="I63" s="25">
        <v>71338.600000000006</v>
      </c>
      <c r="J63" s="27">
        <v>113544.6</v>
      </c>
      <c r="K63" s="27">
        <v>116497.9</v>
      </c>
      <c r="L63" s="27">
        <v>117336.8</v>
      </c>
      <c r="M63" s="27">
        <v>203958</v>
      </c>
    </row>
    <row r="64" spans="1:13" s="8" customFormat="1" x14ac:dyDescent="0.25">
      <c r="A64" s="319"/>
      <c r="B64" s="319"/>
      <c r="C64" s="8" t="s">
        <v>622</v>
      </c>
      <c r="D64" s="8" t="s">
        <v>638</v>
      </c>
      <c r="E64" s="24">
        <f>VALUE(LEFT('Process Development'!D6,LEN('Process Development'!D6)-LEN(D64)))</f>
        <v>41017.1</v>
      </c>
      <c r="F64" s="24">
        <v>4717.5</v>
      </c>
      <c r="G64" s="24">
        <v>7410.8</v>
      </c>
      <c r="H64" s="24">
        <v>9816.7999999999993</v>
      </c>
      <c r="I64" s="24">
        <v>14267.7</v>
      </c>
      <c r="J64" s="8">
        <v>22708.9</v>
      </c>
      <c r="K64" s="8">
        <v>23299.599999999999</v>
      </c>
      <c r="L64" s="8">
        <v>23467.4</v>
      </c>
      <c r="M64" s="8">
        <v>40791.599999999999</v>
      </c>
    </row>
    <row r="65" spans="1:13" s="27" customFormat="1" x14ac:dyDescent="0.25">
      <c r="A65" s="319"/>
      <c r="B65" s="319"/>
      <c r="C65" s="27" t="s">
        <v>623</v>
      </c>
      <c r="D65" s="27" t="s">
        <v>638</v>
      </c>
      <c r="E65" s="25">
        <f>VALUE(LEFT('Process Development'!D7,LEN('Process Development'!D7)-LEN(D65)))</f>
        <v>156998.1</v>
      </c>
      <c r="F65" s="25">
        <v>18131.400000000001</v>
      </c>
      <c r="G65" s="25">
        <v>27594.1</v>
      </c>
      <c r="H65" s="25">
        <v>37096.5</v>
      </c>
      <c r="I65" s="25">
        <v>54191.4</v>
      </c>
      <c r="J65" s="27">
        <v>87550.6</v>
      </c>
      <c r="K65" s="27">
        <v>89848</v>
      </c>
      <c r="L65" s="27">
        <v>90236.4</v>
      </c>
      <c r="M65" s="27">
        <v>156269.29999999999</v>
      </c>
    </row>
    <row r="66" spans="1:13" s="8" customFormat="1" x14ac:dyDescent="0.25">
      <c r="A66" s="319"/>
      <c r="B66" s="319"/>
      <c r="C66" s="8" t="s">
        <v>624</v>
      </c>
      <c r="D66" s="8" t="s">
        <v>638</v>
      </c>
      <c r="E66" s="24">
        <f>VALUE(LEFT('Process Development'!D8,LEN('Process Development'!D8)-LEN(D66)))</f>
        <v>196247.6</v>
      </c>
      <c r="F66" s="24">
        <v>22664.2</v>
      </c>
      <c r="G66" s="24">
        <v>34492.699999999997</v>
      </c>
      <c r="H66" s="24">
        <v>46370.6</v>
      </c>
      <c r="I66" s="24">
        <v>67739.3</v>
      </c>
      <c r="J66" s="8">
        <v>109438.3</v>
      </c>
      <c r="K66" s="8">
        <v>112310</v>
      </c>
      <c r="L66" s="8">
        <v>112795.5</v>
      </c>
      <c r="M66" s="8">
        <v>195336.7</v>
      </c>
    </row>
    <row r="67" spans="1:13" s="27" customFormat="1" x14ac:dyDescent="0.25">
      <c r="A67" s="319"/>
      <c r="B67" s="319"/>
      <c r="C67" s="27" t="s">
        <v>625</v>
      </c>
      <c r="D67" s="27" t="s">
        <v>638</v>
      </c>
      <c r="E67" s="25">
        <f>VALUE(LEFT('Process Development'!D9,LEN('Process Development'!D9)-LEN(D67)))</f>
        <v>39249.5</v>
      </c>
      <c r="F67" s="25">
        <v>4532.8</v>
      </c>
      <c r="G67" s="25">
        <v>6898.5</v>
      </c>
      <c r="H67" s="25">
        <v>9274.1</v>
      </c>
      <c r="I67" s="25">
        <v>13547.9</v>
      </c>
      <c r="J67" s="27">
        <v>21887.7</v>
      </c>
      <c r="K67" s="27">
        <v>22462</v>
      </c>
      <c r="L67" s="27">
        <v>22559.1</v>
      </c>
      <c r="M67" s="27">
        <v>39067.300000000003</v>
      </c>
    </row>
    <row r="68" spans="1:13" s="8" customFormat="1" x14ac:dyDescent="0.25">
      <c r="A68" s="319"/>
      <c r="B68" s="319"/>
      <c r="C68" s="8" t="s">
        <v>610</v>
      </c>
      <c r="D68" s="8" t="s">
        <v>125</v>
      </c>
      <c r="E68" s="171">
        <f>VALUE(LEFT('Process Development'!D10,LEN('Process Development'!D10)-LEN(D68)))</f>
        <v>0.04</v>
      </c>
      <c r="F68" s="171">
        <v>3.9E-2</v>
      </c>
      <c r="G68" s="171">
        <v>6.9000000000000006E-2</v>
      </c>
      <c r="H68" s="171">
        <v>5.5E-2</v>
      </c>
      <c r="I68" s="171">
        <v>0.05</v>
      </c>
      <c r="J68" s="8">
        <v>3.5999999999999997E-2</v>
      </c>
      <c r="K68" s="8">
        <v>3.5999999999999997E-2</v>
      </c>
      <c r="L68" s="8">
        <v>3.9E-2</v>
      </c>
      <c r="M68" s="8">
        <v>4.2000000000000003E-2</v>
      </c>
    </row>
    <row r="69" spans="1:13" s="27" customFormat="1" x14ac:dyDescent="0.25">
      <c r="A69" s="319"/>
      <c r="B69" s="319"/>
      <c r="C69" s="27" t="s">
        <v>626</v>
      </c>
      <c r="D69" s="27" t="s">
        <v>125</v>
      </c>
      <c r="E69" s="170">
        <f>VALUE(LEFT('Process Development'!D11,LEN('Process Development'!D11)-LEN(D69)))</f>
        <v>0.95</v>
      </c>
      <c r="F69" s="170">
        <v>0.96099999999999997</v>
      </c>
      <c r="G69" s="170">
        <v>0.93100000000000005</v>
      </c>
      <c r="H69" s="170">
        <v>0.94499999999999995</v>
      </c>
      <c r="I69" s="170">
        <v>0.95</v>
      </c>
      <c r="J69" s="27">
        <v>0.96399999999999997</v>
      </c>
      <c r="K69" s="27">
        <v>0.96399999999999997</v>
      </c>
      <c r="L69" s="27">
        <v>0.96099999999999997</v>
      </c>
      <c r="M69" s="27">
        <v>0.95799999999999996</v>
      </c>
    </row>
    <row r="70" spans="1:13" s="8" customFormat="1" x14ac:dyDescent="0.25">
      <c r="A70" s="319"/>
      <c r="B70" s="319"/>
      <c r="C70" s="8" t="s">
        <v>612</v>
      </c>
      <c r="D70" s="8" t="s">
        <v>263</v>
      </c>
      <c r="E70" s="24">
        <f>VALUE(LEFT('Process Development'!D12,LEN('Process Development'!D12)-LEN(D70)))</f>
        <v>208.1</v>
      </c>
      <c r="F70" s="24">
        <v>202.3</v>
      </c>
      <c r="G70" s="24">
        <v>203</v>
      </c>
      <c r="H70" s="24">
        <v>201.6</v>
      </c>
      <c r="I70" s="24">
        <v>349.4</v>
      </c>
      <c r="J70" s="8">
        <v>346.8</v>
      </c>
      <c r="K70" s="8">
        <v>343.7</v>
      </c>
      <c r="L70" s="8">
        <v>299.89999999999998</v>
      </c>
      <c r="M70" s="8">
        <v>294.10000000000002</v>
      </c>
    </row>
    <row r="71" spans="1:13" s="27" customFormat="1" x14ac:dyDescent="0.25">
      <c r="A71" s="319"/>
      <c r="B71" s="319"/>
      <c r="C71" s="27" t="s">
        <v>613</v>
      </c>
      <c r="D71" s="27" t="s">
        <v>125</v>
      </c>
      <c r="E71" s="170">
        <f>VALUE(LEFT('Process Development'!D13,LEN('Process Development'!D13)-LEN(D71)))</f>
        <v>0.69</v>
      </c>
      <c r="F71" s="170">
        <v>0.59199999999999997</v>
      </c>
      <c r="G71" s="170">
        <v>0.68700000000000006</v>
      </c>
      <c r="H71" s="170">
        <v>0.998</v>
      </c>
      <c r="I71" s="170">
        <v>0.45200000000000001</v>
      </c>
      <c r="J71" s="27">
        <v>0.55400000000000005</v>
      </c>
      <c r="K71" s="27">
        <v>0.40899999999999997</v>
      </c>
      <c r="L71" s="27">
        <v>0.36099999999999999</v>
      </c>
      <c r="M71" s="27">
        <v>0.54700000000000004</v>
      </c>
    </row>
    <row r="72" spans="1:13" s="8" customFormat="1" x14ac:dyDescent="0.25">
      <c r="A72" s="319"/>
      <c r="B72" s="319"/>
      <c r="C72" s="8" t="s">
        <v>614</v>
      </c>
      <c r="D72" s="8" t="s">
        <v>125</v>
      </c>
      <c r="E72" s="171">
        <f>VALUE(LEFT('Process Development'!D14,LEN('Process Development'!D14)-LEN(D72)))</f>
        <v>0.18</v>
      </c>
      <c r="F72" s="171">
        <v>0.76100000000000001</v>
      </c>
      <c r="G72" s="171">
        <v>0.749</v>
      </c>
      <c r="H72" s="171">
        <v>0.70099999999999996</v>
      </c>
      <c r="I72" s="171">
        <v>0.69899999999999995</v>
      </c>
      <c r="J72" s="8">
        <v>0.61099999999999999</v>
      </c>
      <c r="K72" s="8">
        <v>0.47699999999999998</v>
      </c>
      <c r="L72" s="8">
        <v>0.30599999999999999</v>
      </c>
      <c r="M72" s="8">
        <v>0.20399999999999999</v>
      </c>
    </row>
    <row r="73" spans="1:13" s="27" customFormat="1" x14ac:dyDescent="0.25">
      <c r="A73" s="319"/>
      <c r="B73" s="319"/>
      <c r="C73" s="27" t="s">
        <v>615</v>
      </c>
      <c r="D73" s="27" t="s">
        <v>639</v>
      </c>
      <c r="E73" s="25">
        <f>VALUE(LEFT('Process Development'!D15,LEN('Process Development'!D15)-LEN(D73)))</f>
        <v>11.4</v>
      </c>
      <c r="F73" s="25">
        <v>2.7</v>
      </c>
      <c r="G73" s="25">
        <v>2.7</v>
      </c>
      <c r="H73" s="25">
        <v>2.9</v>
      </c>
      <c r="I73" s="25">
        <v>5</v>
      </c>
      <c r="J73" s="27">
        <v>5.7</v>
      </c>
      <c r="K73" s="27">
        <v>7.2</v>
      </c>
      <c r="L73" s="27">
        <v>9.8000000000000007</v>
      </c>
      <c r="M73" s="27">
        <v>14.4</v>
      </c>
    </row>
    <row r="74" spans="1:13" s="8" customFormat="1" x14ac:dyDescent="0.25">
      <c r="A74" s="319"/>
      <c r="B74" s="319"/>
      <c r="C74" s="8" t="s">
        <v>616</v>
      </c>
      <c r="D74" s="8" t="s">
        <v>265</v>
      </c>
      <c r="E74" s="24">
        <f>VALUE(LEFT('Process Development'!D16,LEN('Process Development'!D16)-LEN(D74)))</f>
        <v>259.39999999999998</v>
      </c>
      <c r="F74" s="24">
        <v>131.4</v>
      </c>
      <c r="G74" s="24">
        <v>200.5</v>
      </c>
      <c r="H74" s="24">
        <v>201.9</v>
      </c>
      <c r="I74" s="24">
        <v>350.8</v>
      </c>
      <c r="J74" s="8">
        <v>347.6</v>
      </c>
      <c r="K74" s="8">
        <v>344.2</v>
      </c>
      <c r="L74" s="8">
        <v>340.6</v>
      </c>
      <c r="M74" s="8">
        <v>262.5</v>
      </c>
    </row>
    <row r="75" spans="1:13" s="27" customFormat="1" x14ac:dyDescent="0.25">
      <c r="A75" s="319"/>
      <c r="B75" s="319"/>
      <c r="C75" s="27" t="s">
        <v>617</v>
      </c>
      <c r="D75" s="27" t="s">
        <v>264</v>
      </c>
      <c r="E75" s="25">
        <f>VALUE(LEFT('Process Development'!D17,LEN('Process Development'!D17)-LEN(D75)))</f>
        <v>1385</v>
      </c>
      <c r="F75" s="25">
        <v>675</v>
      </c>
      <c r="G75" s="25">
        <v>1011.6</v>
      </c>
      <c r="H75" s="25">
        <v>1019.8</v>
      </c>
      <c r="I75" s="25">
        <v>1760</v>
      </c>
      <c r="J75" s="27">
        <v>1760</v>
      </c>
      <c r="K75" s="27">
        <v>1760</v>
      </c>
      <c r="L75" s="27">
        <v>1760</v>
      </c>
      <c r="M75" s="27">
        <v>1385</v>
      </c>
    </row>
    <row r="76" spans="1:13" s="8" customFormat="1" x14ac:dyDescent="0.25">
      <c r="A76" s="319"/>
      <c r="B76" s="319"/>
      <c r="C76" s="8" t="s">
        <v>627</v>
      </c>
      <c r="D76" s="8" t="s">
        <v>640</v>
      </c>
      <c r="E76" s="24">
        <f>VALUE(LEFT('Process Development'!D18,LEN('Process Development'!D18)-LEN(D76)))</f>
        <v>111</v>
      </c>
      <c r="F76" s="24">
        <v>111</v>
      </c>
      <c r="G76" s="24">
        <v>111</v>
      </c>
      <c r="H76" s="24">
        <v>111</v>
      </c>
      <c r="I76" s="24">
        <v>111</v>
      </c>
      <c r="J76" s="8">
        <v>111</v>
      </c>
      <c r="K76" s="8">
        <v>111</v>
      </c>
      <c r="L76" s="8">
        <v>111</v>
      </c>
      <c r="M76" s="8">
        <v>111</v>
      </c>
    </row>
    <row r="77" spans="1:13" s="27" customFormat="1" x14ac:dyDescent="0.25">
      <c r="A77" s="319"/>
      <c r="B77" s="319" t="s">
        <v>628</v>
      </c>
      <c r="C77" s="27" t="s">
        <v>629</v>
      </c>
      <c r="D77" s="27" t="s">
        <v>638</v>
      </c>
      <c r="E77" s="25">
        <f>VALUE(LEFT('Process Development'!F4,LEN('Process Development'!F4)-LEN(D77)))</f>
        <v>1732011.2</v>
      </c>
      <c r="F77" s="25">
        <v>217059.4</v>
      </c>
      <c r="G77" s="25">
        <v>279990.09999999998</v>
      </c>
      <c r="H77" s="25">
        <v>338909.3</v>
      </c>
      <c r="I77" s="25">
        <v>455566.5</v>
      </c>
      <c r="J77" s="27">
        <v>674273.3</v>
      </c>
      <c r="K77" s="27">
        <v>888891.9</v>
      </c>
      <c r="L77" s="27">
        <v>1084412.5</v>
      </c>
      <c r="M77" s="27">
        <v>1454159.7</v>
      </c>
    </row>
    <row r="78" spans="1:13" s="8" customFormat="1" x14ac:dyDescent="0.25">
      <c r="A78" s="319"/>
      <c r="B78" s="319"/>
      <c r="C78" s="8" t="s">
        <v>630</v>
      </c>
      <c r="D78" s="8" t="s">
        <v>638</v>
      </c>
      <c r="E78" s="24">
        <f>VALUE(LEFT('Process Development'!F5,LEN('Process Development'!F5)-LEN(D78)))</f>
        <v>1367713.8</v>
      </c>
      <c r="F78" s="24">
        <v>172914.6</v>
      </c>
      <c r="G78" s="24">
        <v>242343.3</v>
      </c>
      <c r="H78" s="24">
        <v>227063.8</v>
      </c>
      <c r="I78" s="24">
        <v>419629.8</v>
      </c>
      <c r="J78" s="8">
        <v>650562.6</v>
      </c>
      <c r="K78" s="8">
        <v>842132</v>
      </c>
      <c r="L78" s="8">
        <v>1061119.7</v>
      </c>
      <c r="M78" s="8">
        <v>1394226.9</v>
      </c>
    </row>
    <row r="79" spans="1:13" s="27" customFormat="1" x14ac:dyDescent="0.25">
      <c r="A79" s="319"/>
      <c r="B79" s="319"/>
      <c r="C79" s="27" t="s">
        <v>610</v>
      </c>
      <c r="D79" s="27" t="s">
        <v>125</v>
      </c>
      <c r="E79" s="170">
        <f>VALUE(LEFT('Process Development'!F6,LEN('Process Development'!F6)-LEN(D79)))</f>
        <v>0.02</v>
      </c>
      <c r="F79" s="170">
        <v>3.4000000000000002E-2</v>
      </c>
      <c r="G79" s="170">
        <v>3.1E-2</v>
      </c>
      <c r="H79" s="170">
        <v>4.2999999999999997E-2</v>
      </c>
      <c r="I79" s="170">
        <v>5.6000000000000001E-2</v>
      </c>
      <c r="J79" s="27">
        <v>2.7E-2</v>
      </c>
      <c r="K79" s="27">
        <v>0.02</v>
      </c>
      <c r="L79" s="27">
        <v>2.1000000000000001E-2</v>
      </c>
      <c r="M79" s="27">
        <v>2.1000000000000001E-2</v>
      </c>
    </row>
    <row r="80" spans="1:13" s="8" customFormat="1" x14ac:dyDescent="0.25">
      <c r="A80" s="319"/>
      <c r="B80" s="319"/>
      <c r="C80" s="8" t="s">
        <v>631</v>
      </c>
      <c r="D80" s="8" t="s">
        <v>125</v>
      </c>
      <c r="E80" s="171">
        <f>VALUE(LEFT('Process Development'!F7,LEN('Process Development'!F7)-LEN(D80)))</f>
        <v>0.7</v>
      </c>
      <c r="F80" s="171">
        <v>0.79700000000000004</v>
      </c>
      <c r="G80" s="171">
        <v>0.86599999999999999</v>
      </c>
      <c r="H80" s="171">
        <v>0.67</v>
      </c>
      <c r="I80" s="171">
        <v>0.92100000000000004</v>
      </c>
      <c r="J80" s="8">
        <v>0.96499999999999997</v>
      </c>
      <c r="K80" s="8">
        <v>0.94699999999999995</v>
      </c>
      <c r="L80" s="8">
        <v>0.97899999999999998</v>
      </c>
      <c r="M80" s="8">
        <v>0.95899999999999996</v>
      </c>
    </row>
    <row r="81" spans="1:13" s="27" customFormat="1" x14ac:dyDescent="0.25">
      <c r="A81" s="319"/>
      <c r="B81" s="319"/>
      <c r="C81" s="27" t="s">
        <v>632</v>
      </c>
      <c r="D81" s="27" t="s">
        <v>263</v>
      </c>
      <c r="E81" s="25">
        <f>VALUE(LEFT('Process Development'!F8,LEN('Process Development'!F8)-LEN(D81)))</f>
        <v>468.3</v>
      </c>
      <c r="F81" s="25">
        <v>212.2</v>
      </c>
      <c r="G81" s="25">
        <v>211.9</v>
      </c>
      <c r="H81" s="25">
        <v>225.5</v>
      </c>
      <c r="I81" s="25">
        <v>323.5</v>
      </c>
      <c r="J81" s="27">
        <v>450.8</v>
      </c>
      <c r="K81" s="27">
        <v>447.9</v>
      </c>
      <c r="L81" s="27">
        <v>454.8</v>
      </c>
      <c r="M81" s="27">
        <v>471.6</v>
      </c>
    </row>
    <row r="82" spans="1:13" s="8" customFormat="1" x14ac:dyDescent="0.25">
      <c r="A82" s="319"/>
      <c r="B82" s="319"/>
      <c r="C82" s="8" t="s">
        <v>613</v>
      </c>
      <c r="D82" s="8" t="s">
        <v>125</v>
      </c>
      <c r="E82" s="171">
        <f>'Process Development'!F9</f>
        <v>1</v>
      </c>
      <c r="F82" s="171">
        <v>1</v>
      </c>
      <c r="G82" s="171">
        <v>1</v>
      </c>
      <c r="H82" s="171">
        <v>1</v>
      </c>
      <c r="I82" s="171">
        <v>1</v>
      </c>
      <c r="J82" s="8">
        <v>1</v>
      </c>
      <c r="K82" s="8">
        <v>1</v>
      </c>
      <c r="L82" s="8">
        <v>0.97599999999999998</v>
      </c>
      <c r="M82" s="8">
        <v>1</v>
      </c>
    </row>
    <row r="83" spans="1:13" s="27" customFormat="1" x14ac:dyDescent="0.25">
      <c r="A83" s="319"/>
      <c r="B83" s="319"/>
      <c r="C83" s="27" t="s">
        <v>614</v>
      </c>
      <c r="D83" s="27" t="s">
        <v>125</v>
      </c>
      <c r="E83" s="170">
        <f>VALUE(LEFT('Process Development'!F10,LEN('Process Development'!F10)-LEN(D83)))</f>
        <v>0.66</v>
      </c>
      <c r="F83" s="170">
        <v>0.82099999999999995</v>
      </c>
      <c r="G83" s="170">
        <v>0.8</v>
      </c>
      <c r="H83" s="170">
        <v>0.746</v>
      </c>
      <c r="I83" s="170">
        <v>0.753</v>
      </c>
      <c r="J83" s="27">
        <v>0.80200000000000005</v>
      </c>
      <c r="K83" s="27">
        <v>0.76400000000000001</v>
      </c>
      <c r="L83" s="27">
        <v>0.72599999999999998</v>
      </c>
      <c r="M83" s="27">
        <v>0.72899999999999998</v>
      </c>
    </row>
    <row r="84" spans="1:13" s="8" customFormat="1" x14ac:dyDescent="0.25">
      <c r="A84" s="319"/>
      <c r="B84" s="319"/>
      <c r="C84" s="8" t="s">
        <v>615</v>
      </c>
      <c r="D84" s="8" t="s">
        <v>639</v>
      </c>
      <c r="E84" s="24">
        <f>VALUE(LEFT('Process Development'!F11,LEN('Process Development'!F11)-LEN(D84)))</f>
        <v>7</v>
      </c>
      <c r="F84" s="24">
        <v>2.6</v>
      </c>
      <c r="G84" s="24">
        <v>2.7</v>
      </c>
      <c r="H84" s="24">
        <v>3</v>
      </c>
      <c r="I84" s="24">
        <v>4.3</v>
      </c>
      <c r="J84" s="8">
        <v>5.6</v>
      </c>
      <c r="K84" s="8">
        <v>5.9</v>
      </c>
      <c r="L84" s="8">
        <v>6.3</v>
      </c>
      <c r="M84" s="8">
        <v>6.5</v>
      </c>
    </row>
    <row r="85" spans="1:13" s="27" customFormat="1" x14ac:dyDescent="0.25">
      <c r="A85" s="319"/>
      <c r="B85" s="319"/>
      <c r="C85" s="27" t="s">
        <v>616</v>
      </c>
      <c r="D85" s="27" t="s">
        <v>265</v>
      </c>
      <c r="E85" s="25">
        <f>VALUE(LEFT('Process Development'!F12,LEN('Process Development'!F12)-LEN(D85)))</f>
        <v>467.9</v>
      </c>
      <c r="F85" s="25">
        <v>134.30000000000001</v>
      </c>
      <c r="G85" s="25">
        <v>210.7</v>
      </c>
      <c r="H85" s="25">
        <v>226.1</v>
      </c>
      <c r="I85" s="25">
        <v>325.10000000000002</v>
      </c>
      <c r="J85" s="27">
        <v>451.2</v>
      </c>
      <c r="K85" s="27">
        <v>447.6</v>
      </c>
      <c r="L85" s="27">
        <v>454.9</v>
      </c>
      <c r="M85" s="27">
        <v>471.4</v>
      </c>
    </row>
    <row r="86" spans="1:13" s="8" customFormat="1" x14ac:dyDescent="0.25">
      <c r="A86" s="319"/>
      <c r="B86" s="319"/>
      <c r="C86" s="8" t="s">
        <v>617</v>
      </c>
      <c r="D86" s="8" t="s">
        <v>264</v>
      </c>
      <c r="E86" s="24">
        <f>VALUE(LEFT('Process Development'!F13,LEN('Process Development'!F13)-LEN(D86)))</f>
        <v>2379.1999999999998</v>
      </c>
      <c r="F86" s="24">
        <v>690</v>
      </c>
      <c r="G86" s="24">
        <v>1061.2</v>
      </c>
      <c r="H86" s="24">
        <v>1139.5999999999999</v>
      </c>
      <c r="I86" s="24">
        <v>1629.5</v>
      </c>
      <c r="J86" s="8">
        <v>2272.4</v>
      </c>
      <c r="K86" s="8">
        <v>2272.4</v>
      </c>
      <c r="L86" s="8">
        <v>2294.5</v>
      </c>
      <c r="M86" s="8">
        <v>2379.1999999999998</v>
      </c>
    </row>
    <row r="87" spans="1:13" s="27" customFormat="1" x14ac:dyDescent="0.25">
      <c r="A87" s="319"/>
      <c r="B87" s="319"/>
      <c r="C87" s="27" t="s">
        <v>618</v>
      </c>
      <c r="D87" s="27" t="s">
        <v>640</v>
      </c>
      <c r="E87" s="25">
        <f>VALUE(LEFT('Process Development'!F14,LEN('Process Development'!F14)-LEN(D87)))</f>
        <v>105.2</v>
      </c>
      <c r="F87" s="25">
        <v>105.2</v>
      </c>
      <c r="G87" s="25">
        <v>105.2</v>
      </c>
      <c r="H87" s="25">
        <v>105.2</v>
      </c>
      <c r="I87" s="25">
        <v>105.2</v>
      </c>
      <c r="J87" s="27">
        <v>105.2</v>
      </c>
      <c r="K87" s="27">
        <v>105.2</v>
      </c>
      <c r="L87" s="27">
        <v>105.2</v>
      </c>
      <c r="M87" s="27">
        <v>105.2</v>
      </c>
    </row>
    <row r="88" spans="1:13" s="8" customFormat="1" x14ac:dyDescent="0.25">
      <c r="A88" s="319" t="s">
        <v>633</v>
      </c>
      <c r="B88" s="319" t="s">
        <v>603</v>
      </c>
      <c r="C88" s="8" t="s">
        <v>634</v>
      </c>
      <c r="D88" s="8" t="s">
        <v>638</v>
      </c>
      <c r="E88" s="236">
        <f>VALUE(LEFT('Process Development'!B23,LEN('Process Development'!B23)-LEN(D88)))</f>
        <v>6622797</v>
      </c>
      <c r="F88" s="24">
        <v>896569.5</v>
      </c>
      <c r="G88" s="24">
        <v>544276.9</v>
      </c>
      <c r="H88" s="24">
        <v>572453.9</v>
      </c>
      <c r="I88" s="24">
        <v>572914.80000000005</v>
      </c>
      <c r="J88" s="8">
        <v>951475</v>
      </c>
      <c r="K88" s="8">
        <v>1655813.9</v>
      </c>
      <c r="L88" s="8">
        <v>1652365.1</v>
      </c>
      <c r="M88" s="8">
        <v>7738501.2000000002</v>
      </c>
    </row>
    <row r="89" spans="1:13" s="27" customFormat="1" x14ac:dyDescent="0.25">
      <c r="A89" s="319"/>
      <c r="B89" s="319"/>
      <c r="C89" s="27" t="s">
        <v>635</v>
      </c>
      <c r="D89" s="27" t="s">
        <v>638</v>
      </c>
      <c r="E89" s="236">
        <f>VALUE(LEFT('Process Development'!B24,LEN('Process Development'!B24)-LEN(D89)))</f>
        <v>4176677.7</v>
      </c>
      <c r="F89" s="25">
        <v>146404.1</v>
      </c>
      <c r="G89" s="25">
        <v>132223.6</v>
      </c>
      <c r="H89" s="25">
        <v>176165.6</v>
      </c>
      <c r="I89" s="25">
        <v>505142.8</v>
      </c>
      <c r="J89" s="27">
        <v>657519.30000000005</v>
      </c>
      <c r="K89" s="27">
        <v>1217855</v>
      </c>
      <c r="L89" s="27">
        <v>1617326.1</v>
      </c>
      <c r="M89" s="27">
        <v>3959054.9</v>
      </c>
    </row>
    <row r="90" spans="1:13" s="8" customFormat="1" x14ac:dyDescent="0.25">
      <c r="A90" s="319"/>
      <c r="B90" s="319"/>
      <c r="C90" s="8" t="s">
        <v>610</v>
      </c>
      <c r="D90" s="8" t="s">
        <v>125</v>
      </c>
      <c r="E90" s="249">
        <f>VALUE(LEFT('Process Development'!B25,LEN('Process Development'!B25)-LEN(D90)))</f>
        <v>0.02</v>
      </c>
      <c r="F90" s="171">
        <v>3.2000000000000001E-2</v>
      </c>
      <c r="G90" s="171">
        <v>5.0999999999999997E-2</v>
      </c>
      <c r="H90" s="171">
        <v>3.5999999999999997E-2</v>
      </c>
      <c r="I90" s="171">
        <v>4.3999999999999997E-2</v>
      </c>
      <c r="J90" s="8">
        <v>3.3000000000000002E-2</v>
      </c>
      <c r="K90" s="8">
        <v>2.5000000000000001E-2</v>
      </c>
      <c r="L90" s="8">
        <v>2.1000000000000001E-2</v>
      </c>
      <c r="M90" s="8">
        <v>2.3E-2</v>
      </c>
    </row>
    <row r="91" spans="1:13" s="27" customFormat="1" x14ac:dyDescent="0.25">
      <c r="A91" s="319"/>
      <c r="B91" s="319"/>
      <c r="C91" s="27" t="s">
        <v>611</v>
      </c>
      <c r="D91" s="27" t="s">
        <v>125</v>
      </c>
      <c r="E91" s="249">
        <f>VALUE(LEFT('Process Development'!B26,LEN('Process Development'!B26)-LEN(D91)))</f>
        <v>0.63</v>
      </c>
      <c r="F91" s="170">
        <v>0.16300000000000001</v>
      </c>
      <c r="G91" s="170">
        <v>0.24299999999999999</v>
      </c>
      <c r="H91" s="170">
        <v>0.308</v>
      </c>
      <c r="I91" s="170">
        <v>0.88200000000000001</v>
      </c>
      <c r="J91" s="27">
        <v>0.69099999999999995</v>
      </c>
      <c r="K91" s="27">
        <v>0.73599999999999999</v>
      </c>
      <c r="L91" s="27">
        <v>0.97899999999999998</v>
      </c>
      <c r="M91" s="27">
        <v>0.51200000000000001</v>
      </c>
    </row>
    <row r="92" spans="1:13" s="8" customFormat="1" x14ac:dyDescent="0.25">
      <c r="A92" s="319"/>
      <c r="B92" s="319"/>
      <c r="C92" s="8" t="s">
        <v>612</v>
      </c>
      <c r="D92" s="8" t="s">
        <v>263</v>
      </c>
      <c r="E92" s="24">
        <f>VALUE(LEFT('Process Development'!B27,LEN('Process Development'!B27)-LEN(D92)))</f>
        <v>1463.2</v>
      </c>
      <c r="F92" s="24">
        <v>163.30000000000001</v>
      </c>
      <c r="G92" s="24">
        <v>163.30000000000001</v>
      </c>
      <c r="H92" s="24">
        <v>227.8</v>
      </c>
      <c r="I92" s="24">
        <v>445.1</v>
      </c>
      <c r="J92" s="8">
        <v>496.8</v>
      </c>
      <c r="K92" s="8">
        <v>990.8</v>
      </c>
      <c r="L92" s="8">
        <v>1183.0999999999999</v>
      </c>
      <c r="M92" s="8">
        <v>1373.8</v>
      </c>
    </row>
    <row r="93" spans="1:13" s="27" customFormat="1" x14ac:dyDescent="0.25">
      <c r="A93" s="319"/>
      <c r="B93" s="319"/>
      <c r="C93" s="27" t="s">
        <v>613</v>
      </c>
      <c r="D93" s="27" t="s">
        <v>125</v>
      </c>
      <c r="E93" s="170">
        <f>'Process Development'!B28</f>
        <v>1</v>
      </c>
      <c r="F93" s="170">
        <v>1</v>
      </c>
      <c r="G93" s="170">
        <v>1</v>
      </c>
      <c r="H93" s="170">
        <v>1</v>
      </c>
      <c r="I93" s="170">
        <v>1</v>
      </c>
      <c r="J93" s="27">
        <v>1</v>
      </c>
      <c r="K93" s="27">
        <v>1</v>
      </c>
      <c r="L93" s="27">
        <v>0.58599999999999997</v>
      </c>
      <c r="M93" s="27">
        <v>1</v>
      </c>
    </row>
    <row r="94" spans="1:13" s="8" customFormat="1" x14ac:dyDescent="0.25">
      <c r="A94" s="319"/>
      <c r="B94" s="319"/>
      <c r="C94" s="8" t="s">
        <v>614</v>
      </c>
      <c r="D94" s="8" t="s">
        <v>125</v>
      </c>
      <c r="E94" s="171">
        <f>VALUE(LEFT('Process Development'!B29,LEN('Process Development'!B29)-LEN(D94)))</f>
        <v>0.64</v>
      </c>
      <c r="F94" s="171">
        <v>0.77500000000000002</v>
      </c>
      <c r="G94" s="171">
        <v>0.71599999999999997</v>
      </c>
      <c r="H94" s="171">
        <v>0.70899999999999996</v>
      </c>
      <c r="I94" s="171">
        <v>0.74299999999999999</v>
      </c>
      <c r="J94" s="8">
        <v>0.7</v>
      </c>
      <c r="K94" s="8">
        <v>0.74</v>
      </c>
      <c r="L94" s="8">
        <v>0.73099999999999998</v>
      </c>
      <c r="M94" s="8">
        <v>0.69399999999999995</v>
      </c>
    </row>
    <row r="95" spans="1:13" s="27" customFormat="1" x14ac:dyDescent="0.25">
      <c r="A95" s="319"/>
      <c r="B95" s="319"/>
      <c r="C95" s="27" t="s">
        <v>615</v>
      </c>
      <c r="D95" s="27" t="s">
        <v>639</v>
      </c>
      <c r="E95" s="25">
        <f>VALUE(LEFT('Process Development'!B30,LEN('Process Development'!B30)-LEN(D95)))</f>
        <v>22.6</v>
      </c>
      <c r="F95" s="25">
        <v>2.1</v>
      </c>
      <c r="G95" s="25">
        <v>2.2999999999999998</v>
      </c>
      <c r="H95" s="25">
        <v>3.2</v>
      </c>
      <c r="I95" s="25">
        <v>6</v>
      </c>
      <c r="J95" s="27">
        <v>7.1</v>
      </c>
      <c r="K95" s="27">
        <v>13.4</v>
      </c>
      <c r="L95" s="27">
        <v>16.2</v>
      </c>
      <c r="M95" s="27">
        <v>19.8</v>
      </c>
    </row>
    <row r="96" spans="1:13" s="8" customFormat="1" x14ac:dyDescent="0.25">
      <c r="A96" s="319"/>
      <c r="B96" s="319"/>
      <c r="C96" s="8" t="s">
        <v>616</v>
      </c>
      <c r="D96" s="8" t="s">
        <v>265</v>
      </c>
      <c r="E96" s="24">
        <f>VALUE(LEFT('Process Development'!B31,LEN('Process Development'!B31)-LEN(D96)))</f>
        <v>1463.2</v>
      </c>
      <c r="F96" s="24">
        <v>161.5</v>
      </c>
      <c r="G96" s="24">
        <v>161.69999999999999</v>
      </c>
      <c r="H96" s="24">
        <v>228.2</v>
      </c>
      <c r="I96" s="24">
        <v>446.6</v>
      </c>
      <c r="J96" s="8">
        <v>497.2</v>
      </c>
      <c r="K96" s="8">
        <v>692.6</v>
      </c>
      <c r="L96" s="8">
        <v>1183.7</v>
      </c>
      <c r="M96" s="8">
        <v>1374</v>
      </c>
    </row>
    <row r="97" spans="1:13" s="27" customFormat="1" x14ac:dyDescent="0.25">
      <c r="A97" s="319"/>
      <c r="B97" s="319"/>
      <c r="C97" s="27" t="s">
        <v>617</v>
      </c>
      <c r="D97" s="27" t="s">
        <v>264</v>
      </c>
      <c r="E97" s="25">
        <f>VALUE(LEFT('Process Development'!B32,LEN('Process Development'!B32)-LEN(D97)))</f>
        <v>7374.1</v>
      </c>
      <c r="F97" s="25">
        <v>780</v>
      </c>
      <c r="G97" s="25">
        <v>816.8</v>
      </c>
      <c r="H97" s="25">
        <v>1151.3</v>
      </c>
      <c r="I97" s="25">
        <v>2240.9</v>
      </c>
      <c r="J97" s="27">
        <v>2505.5</v>
      </c>
      <c r="K97" s="27">
        <v>3488.8</v>
      </c>
      <c r="L97" s="27">
        <v>5958.9</v>
      </c>
      <c r="M97" s="27">
        <v>6920.5</v>
      </c>
    </row>
    <row r="98" spans="1:13" s="8" customFormat="1" x14ac:dyDescent="0.25">
      <c r="A98" s="319"/>
      <c r="B98" s="319"/>
      <c r="C98" s="8" t="s">
        <v>627</v>
      </c>
      <c r="D98" s="8" t="s">
        <v>640</v>
      </c>
      <c r="E98" s="24">
        <f>VALUE(LEFT('Process Development'!B33,LEN('Process Development'!B33)-LEN(D98)))</f>
        <v>100.6</v>
      </c>
      <c r="F98" s="24">
        <v>100.6</v>
      </c>
      <c r="G98" s="24">
        <v>100.6</v>
      </c>
      <c r="H98" s="24">
        <v>100.6</v>
      </c>
      <c r="I98" s="24">
        <v>100.6</v>
      </c>
      <c r="J98" s="8">
        <v>100.6</v>
      </c>
      <c r="K98" s="8">
        <v>100.6</v>
      </c>
      <c r="L98" s="8">
        <v>100.6</v>
      </c>
      <c r="M98" s="8">
        <v>100.6</v>
      </c>
    </row>
    <row r="99" spans="1:13" s="27" customFormat="1" x14ac:dyDescent="0.25">
      <c r="A99" s="319"/>
      <c r="B99" s="319" t="s">
        <v>619</v>
      </c>
      <c r="C99" s="27" t="s">
        <v>636</v>
      </c>
      <c r="D99" s="27" t="s">
        <v>638</v>
      </c>
      <c r="E99" s="236">
        <f>VALUE(LEFT('Process Development'!B23,LEN('Process Development'!B23)-LEN(D99)))</f>
        <v>6622797</v>
      </c>
      <c r="F99" s="25">
        <v>146404.1</v>
      </c>
      <c r="G99" s="25">
        <v>132223.6</v>
      </c>
      <c r="H99" s="25">
        <v>176165.6</v>
      </c>
      <c r="I99" s="25">
        <v>505142.8</v>
      </c>
      <c r="J99" s="27">
        <v>657519.30000000005</v>
      </c>
      <c r="K99" s="27">
        <v>1217855</v>
      </c>
      <c r="L99" s="27">
        <v>1617326.1</v>
      </c>
      <c r="M99" s="27">
        <v>3959054.9</v>
      </c>
    </row>
    <row r="100" spans="1:13" s="8" customFormat="1" x14ac:dyDescent="0.25">
      <c r="A100" s="319"/>
      <c r="B100" s="319"/>
      <c r="C100" s="8" t="s">
        <v>637</v>
      </c>
      <c r="D100" s="8" t="s">
        <v>638</v>
      </c>
      <c r="E100" s="24">
        <f>VALUE(LEFT('Process Development'!B24,LEN('Process Development'!B24)-LEN(D100)))</f>
        <v>4176677.7</v>
      </c>
      <c r="F100" s="24">
        <v>140672.4</v>
      </c>
      <c r="G100" s="24">
        <v>123083.3</v>
      </c>
      <c r="H100" s="24">
        <v>166427.20000000001</v>
      </c>
      <c r="I100" s="24">
        <v>405159.6</v>
      </c>
      <c r="J100" s="8">
        <v>502233.1</v>
      </c>
      <c r="K100" s="8">
        <v>909204.1</v>
      </c>
      <c r="L100" s="8">
        <v>1554730.7</v>
      </c>
      <c r="M100" s="8">
        <v>3337494.2</v>
      </c>
    </row>
    <row r="101" spans="1:13" s="27" customFormat="1" x14ac:dyDescent="0.25">
      <c r="A101" s="319"/>
      <c r="B101" s="319"/>
      <c r="C101" s="27" t="s">
        <v>610</v>
      </c>
      <c r="D101" s="27" t="s">
        <v>125</v>
      </c>
      <c r="E101" s="170">
        <f>'Process Development'!B25</f>
        <v>2.4E-2</v>
      </c>
      <c r="F101" s="170">
        <v>3.4000000000000002E-2</v>
      </c>
      <c r="G101" s="170">
        <v>5.8000000000000003E-2</v>
      </c>
      <c r="H101" s="170">
        <v>4.3999999999999997E-2</v>
      </c>
      <c r="I101" s="170">
        <v>5.2999999999999999E-2</v>
      </c>
      <c r="J101" s="27">
        <v>3.4000000000000002E-2</v>
      </c>
      <c r="K101" s="27">
        <v>2.5000000000000001E-2</v>
      </c>
      <c r="L101" s="27">
        <v>2.1000000000000001E-2</v>
      </c>
      <c r="M101" s="27">
        <v>2.1999999999999999E-2</v>
      </c>
    </row>
    <row r="102" spans="1:13" s="8" customFormat="1" x14ac:dyDescent="0.25">
      <c r="A102" s="319"/>
      <c r="B102" s="319"/>
      <c r="C102" s="8" t="s">
        <v>626</v>
      </c>
      <c r="D102" s="8" t="s">
        <v>125</v>
      </c>
      <c r="E102" s="171">
        <f>'Process Development'!B26</f>
        <v>0.63100000000000001</v>
      </c>
      <c r="F102" s="171">
        <v>0.96099999999999997</v>
      </c>
      <c r="G102" s="171">
        <v>0.93100000000000005</v>
      </c>
      <c r="H102" s="171">
        <v>0.94499999999999995</v>
      </c>
      <c r="I102" s="171">
        <v>0.80200000000000005</v>
      </c>
      <c r="J102" s="8">
        <v>0.76400000000000001</v>
      </c>
      <c r="K102" s="8">
        <v>0.747</v>
      </c>
      <c r="L102" s="8">
        <v>0.96099999999999997</v>
      </c>
      <c r="M102" s="8">
        <v>0.84299999999999997</v>
      </c>
    </row>
    <row r="103" spans="1:13" s="27" customFormat="1" x14ac:dyDescent="0.25">
      <c r="A103" s="319"/>
      <c r="B103" s="319"/>
      <c r="C103" s="27" t="s">
        <v>632</v>
      </c>
      <c r="D103" s="27" t="s">
        <v>263</v>
      </c>
      <c r="E103" s="25">
        <f>VALUE(LEFT('Process Development'!B27,LEN('Process Development'!B27)-LEN(D103)))</f>
        <v>1463.2</v>
      </c>
      <c r="F103" s="25">
        <v>281.8</v>
      </c>
      <c r="G103" s="25">
        <v>281.8</v>
      </c>
      <c r="H103" s="25">
        <v>279.60000000000002</v>
      </c>
      <c r="I103" s="25">
        <v>307.2</v>
      </c>
      <c r="J103" s="27">
        <v>351.3</v>
      </c>
      <c r="K103" s="27">
        <v>746.4</v>
      </c>
      <c r="L103" s="27">
        <v>960.1</v>
      </c>
      <c r="M103" s="27">
        <v>1152.5999999999999</v>
      </c>
    </row>
    <row r="104" spans="1:13" s="8" customFormat="1" x14ac:dyDescent="0.25">
      <c r="A104" s="319"/>
      <c r="B104" s="319"/>
      <c r="C104" s="8" t="s">
        <v>613</v>
      </c>
      <c r="D104" s="8" t="s">
        <v>125</v>
      </c>
      <c r="E104" s="171">
        <f>'Process Development'!B28</f>
        <v>1</v>
      </c>
      <c r="F104" s="171">
        <v>0.96699999999999997</v>
      </c>
      <c r="G104" s="171">
        <v>0.46300000000000002</v>
      </c>
      <c r="H104" s="171">
        <v>0.66800000000000004</v>
      </c>
      <c r="I104" s="171">
        <v>1</v>
      </c>
      <c r="J104" s="8">
        <v>1</v>
      </c>
      <c r="K104" s="8">
        <v>1</v>
      </c>
      <c r="L104" s="8">
        <v>0.68600000000000005</v>
      </c>
      <c r="M104" s="8">
        <v>1</v>
      </c>
    </row>
    <row r="105" spans="1:13" s="27" customFormat="1" x14ac:dyDescent="0.25">
      <c r="A105" s="319"/>
      <c r="B105" s="319"/>
      <c r="C105" s="27" t="s">
        <v>614</v>
      </c>
      <c r="D105" s="27" t="s">
        <v>125</v>
      </c>
      <c r="E105" s="170">
        <f>'Process Development'!B29</f>
        <v>0.64800000000000002</v>
      </c>
      <c r="F105" s="170">
        <v>0.78100000000000003</v>
      </c>
      <c r="G105" s="170">
        <v>0.65700000000000003</v>
      </c>
      <c r="H105" s="170">
        <v>0.61799999999999999</v>
      </c>
      <c r="I105" s="170">
        <v>0.59099999999999997</v>
      </c>
      <c r="J105" s="27">
        <v>0.57199999999999995</v>
      </c>
      <c r="K105" s="27">
        <v>0.68700000000000006</v>
      </c>
      <c r="L105" s="27">
        <v>0.74299999999999999</v>
      </c>
      <c r="M105" s="27">
        <v>0.71899999999999997</v>
      </c>
    </row>
    <row r="106" spans="1:13" s="8" customFormat="1" x14ac:dyDescent="0.25">
      <c r="A106" s="319"/>
      <c r="B106" s="319"/>
      <c r="C106" s="8" t="s">
        <v>615</v>
      </c>
      <c r="D106" s="8" t="s">
        <v>639</v>
      </c>
      <c r="E106" s="24">
        <f>VALUE(LEFT('Process Development'!B30,LEN('Process Development'!B30)-LEN(D106)))</f>
        <v>22.6</v>
      </c>
      <c r="F106" s="24">
        <v>3.6</v>
      </c>
      <c r="G106" s="24">
        <v>4.3</v>
      </c>
      <c r="H106" s="24">
        <v>4.5</v>
      </c>
      <c r="I106" s="24">
        <v>5.2</v>
      </c>
      <c r="J106" s="8">
        <v>6.1</v>
      </c>
      <c r="K106" s="8">
        <v>10.9</v>
      </c>
      <c r="L106" s="8">
        <v>12.9</v>
      </c>
      <c r="M106" s="8">
        <v>16</v>
      </c>
    </row>
    <row r="107" spans="1:13" s="27" customFormat="1" x14ac:dyDescent="0.25">
      <c r="A107" s="319"/>
      <c r="B107" s="319"/>
      <c r="C107" s="27" t="s">
        <v>616</v>
      </c>
      <c r="D107" s="27" t="s">
        <v>265</v>
      </c>
      <c r="E107" s="25">
        <f>VALUE(LEFT('Process Development'!B31,LEN('Process Development'!B31)-LEN(D107)))</f>
        <v>1463.2</v>
      </c>
      <c r="F107" s="25">
        <v>131.4</v>
      </c>
      <c r="G107" s="25">
        <v>279.60000000000002</v>
      </c>
      <c r="H107" s="25">
        <v>280.3</v>
      </c>
      <c r="I107" s="25">
        <v>308.8</v>
      </c>
      <c r="J107" s="27">
        <v>351.9</v>
      </c>
      <c r="K107" s="27">
        <v>488.2</v>
      </c>
      <c r="L107" s="27">
        <v>960.7</v>
      </c>
      <c r="M107" s="27">
        <v>1152.5</v>
      </c>
    </row>
    <row r="108" spans="1:13" s="8" customFormat="1" x14ac:dyDescent="0.25">
      <c r="A108" s="319"/>
      <c r="B108" s="319"/>
      <c r="C108" s="8" t="s">
        <v>617</v>
      </c>
      <c r="D108" s="8" t="s">
        <v>264</v>
      </c>
      <c r="E108" s="24">
        <f>VALUE(LEFT('Process Development'!B32,LEN('Process Development'!B32)-LEN(D108)))</f>
        <v>7374.1</v>
      </c>
      <c r="F108" s="24">
        <v>675</v>
      </c>
      <c r="G108" s="24">
        <v>1408.8</v>
      </c>
      <c r="H108" s="24">
        <v>1414.1</v>
      </c>
      <c r="I108" s="24">
        <v>1550</v>
      </c>
      <c r="J108" s="8">
        <v>1775.8</v>
      </c>
      <c r="K108" s="8">
        <v>2461.4</v>
      </c>
      <c r="L108" s="8">
        <v>4837.1000000000004</v>
      </c>
      <c r="M108" s="8">
        <v>5805.4</v>
      </c>
    </row>
    <row r="109" spans="1:13" s="27" customFormat="1" x14ac:dyDescent="0.25">
      <c r="A109" s="319"/>
      <c r="B109" s="319"/>
      <c r="C109" s="27" t="s">
        <v>627</v>
      </c>
      <c r="D109" s="27" t="s">
        <v>640</v>
      </c>
      <c r="E109" s="25">
        <f>VALUE(LEFT('Process Development'!B33,LEN('Process Development'!B33)-LEN(D109)))</f>
        <v>100.6</v>
      </c>
      <c r="F109" s="25">
        <v>99.7</v>
      </c>
      <c r="G109" s="25">
        <v>99.7</v>
      </c>
      <c r="H109" s="25">
        <v>99.7</v>
      </c>
      <c r="I109" s="25">
        <v>99.7</v>
      </c>
      <c r="J109" s="27">
        <v>99.7</v>
      </c>
      <c r="K109" s="27">
        <v>99.7</v>
      </c>
      <c r="L109" s="27">
        <v>99.7</v>
      </c>
      <c r="M109" s="27">
        <v>99.7</v>
      </c>
    </row>
    <row r="110" spans="1:13" s="8" customFormat="1" x14ac:dyDescent="0.25">
      <c r="A110" s="319"/>
      <c r="B110" s="319" t="s">
        <v>628</v>
      </c>
      <c r="C110" s="8" t="s">
        <v>629</v>
      </c>
      <c r="D110" s="8" t="s">
        <v>638</v>
      </c>
      <c r="E110" s="24">
        <v>1301583.3999999999</v>
      </c>
      <c r="F110" s="24">
        <v>160489.20000000001</v>
      </c>
      <c r="G110" s="24">
        <v>133704.70000000001</v>
      </c>
      <c r="H110" s="24">
        <v>123526.5</v>
      </c>
      <c r="I110" s="24">
        <v>168419.20000000001</v>
      </c>
      <c r="J110" s="8">
        <v>243917.7</v>
      </c>
      <c r="K110" s="8">
        <v>390843.1</v>
      </c>
      <c r="L110" s="8">
        <v>691748.6</v>
      </c>
      <c r="M110" s="8">
        <v>1192129</v>
      </c>
    </row>
    <row r="111" spans="1:13" s="27" customFormat="1" x14ac:dyDescent="0.25">
      <c r="A111" s="319"/>
      <c r="B111" s="319"/>
      <c r="C111" s="27" t="s">
        <v>630</v>
      </c>
      <c r="D111" s="27" t="s">
        <v>638</v>
      </c>
      <c r="E111" s="25">
        <f>VALUE(LEFT('Process Development'!F24,LEN('Process Development'!F24)-LEN(D111)))</f>
        <v>809568.4</v>
      </c>
      <c r="F111" s="25">
        <v>150579.1</v>
      </c>
      <c r="G111" s="25">
        <v>128877.2</v>
      </c>
      <c r="H111" s="25">
        <v>116458.6</v>
      </c>
      <c r="I111" s="25">
        <v>155261.79999999999</v>
      </c>
      <c r="J111" s="27">
        <v>226981.3</v>
      </c>
      <c r="K111" s="27">
        <v>378795.5</v>
      </c>
      <c r="L111" s="27">
        <v>624250.30000000005</v>
      </c>
      <c r="M111" s="27">
        <v>828573.1</v>
      </c>
    </row>
    <row r="112" spans="1:13" s="8" customFormat="1" x14ac:dyDescent="0.25">
      <c r="A112" s="319"/>
      <c r="B112" s="319"/>
      <c r="C112" s="8" t="s">
        <v>610</v>
      </c>
      <c r="D112" s="8" t="s">
        <v>125</v>
      </c>
      <c r="E112" s="171">
        <f>'Process Development'!F25</f>
        <v>2.8000000000000001E-2</v>
      </c>
      <c r="F112" s="171">
        <v>6.2E-2</v>
      </c>
      <c r="G112" s="171">
        <v>3.5999999999999997E-2</v>
      </c>
      <c r="H112" s="171">
        <v>5.7000000000000002E-2</v>
      </c>
      <c r="I112" s="171">
        <v>7.8E-2</v>
      </c>
      <c r="J112" s="8">
        <v>4.4999999999999998E-2</v>
      </c>
      <c r="K112" s="8">
        <v>3.1E-2</v>
      </c>
      <c r="L112" s="8">
        <v>2.4E-2</v>
      </c>
      <c r="M112" s="8">
        <v>2.5000000000000001E-2</v>
      </c>
    </row>
    <row r="113" spans="1:29" s="27" customFormat="1" x14ac:dyDescent="0.25">
      <c r="A113" s="319"/>
      <c r="B113" s="319"/>
      <c r="C113" s="27" t="s">
        <v>631</v>
      </c>
      <c r="D113" s="27" t="s">
        <v>125</v>
      </c>
      <c r="E113" s="170">
        <f>'Process Development'!F26</f>
        <v>0.622</v>
      </c>
      <c r="F113" s="170">
        <v>0.93799999999999994</v>
      </c>
      <c r="G113" s="170">
        <v>0.96399999999999997</v>
      </c>
      <c r="H113" s="170">
        <v>0.94299999999999995</v>
      </c>
      <c r="I113" s="170">
        <v>0.92200000000000004</v>
      </c>
      <c r="J113" s="27">
        <v>0.93100000000000005</v>
      </c>
      <c r="K113" s="27">
        <v>0.96899999999999997</v>
      </c>
      <c r="L113" s="27">
        <v>0.90200000000000002</v>
      </c>
      <c r="M113" s="27">
        <v>0.69499999999999995</v>
      </c>
    </row>
    <row r="114" spans="1:29" s="8" customFormat="1" x14ac:dyDescent="0.25">
      <c r="A114" s="319"/>
      <c r="B114" s="319"/>
      <c r="C114" s="8" t="s">
        <v>632</v>
      </c>
      <c r="D114" s="8" t="s">
        <v>263</v>
      </c>
      <c r="E114" s="24">
        <f>VALUE(LEFT('Process Development'!F27,LEN('Process Development'!F27)-LEN(D114)))</f>
        <v>271.7</v>
      </c>
      <c r="F114" s="24">
        <v>184.6</v>
      </c>
      <c r="G114" s="24">
        <v>184.4</v>
      </c>
      <c r="H114" s="24">
        <v>182.9</v>
      </c>
      <c r="I114" s="24">
        <v>181.3</v>
      </c>
      <c r="J114" s="8">
        <v>149.69999999999999</v>
      </c>
      <c r="K114" s="8">
        <v>247.9</v>
      </c>
      <c r="L114" s="8">
        <v>256</v>
      </c>
      <c r="M114" s="8">
        <v>273.89999999999998</v>
      </c>
    </row>
    <row r="115" spans="1:29" s="27" customFormat="1" x14ac:dyDescent="0.25">
      <c r="A115" s="319"/>
      <c r="B115" s="319"/>
      <c r="C115" s="27" t="s">
        <v>613</v>
      </c>
      <c r="D115" s="27" t="s">
        <v>125</v>
      </c>
      <c r="E115" s="170">
        <f>'Process Development'!F28</f>
        <v>1</v>
      </c>
      <c r="F115" s="170">
        <v>0.86699999999999999</v>
      </c>
      <c r="G115" s="170">
        <v>0.497</v>
      </c>
      <c r="H115" s="170">
        <v>0.52400000000000002</v>
      </c>
      <c r="I115" s="170">
        <v>0.64800000000000002</v>
      </c>
      <c r="J115" s="27">
        <v>1</v>
      </c>
      <c r="K115" s="27">
        <v>0.98399999999999999</v>
      </c>
      <c r="L115" s="27">
        <v>1</v>
      </c>
      <c r="M115" s="27">
        <v>1</v>
      </c>
    </row>
    <row r="116" spans="1:29" s="8" customFormat="1" x14ac:dyDescent="0.25">
      <c r="A116" s="319"/>
      <c r="B116" s="319"/>
      <c r="C116" s="8" t="s">
        <v>614</v>
      </c>
      <c r="D116" s="8" t="s">
        <v>125</v>
      </c>
      <c r="E116" s="171">
        <f>'Process Development'!F29</f>
        <v>0.56899999999999995</v>
      </c>
      <c r="F116" s="171">
        <v>0.77400000000000002</v>
      </c>
      <c r="G116" s="171">
        <v>0.68799999999999994</v>
      </c>
      <c r="H116" s="171">
        <v>0.57899999999999996</v>
      </c>
      <c r="I116" s="171">
        <v>0.504</v>
      </c>
      <c r="J116" s="8">
        <v>0.505</v>
      </c>
      <c r="K116" s="8">
        <v>0.66500000000000004</v>
      </c>
      <c r="L116" s="8">
        <v>0.66100000000000003</v>
      </c>
      <c r="M116" s="8">
        <v>0.629</v>
      </c>
    </row>
    <row r="117" spans="1:29" s="27" customFormat="1" x14ac:dyDescent="0.25">
      <c r="A117" s="319"/>
      <c r="B117" s="319"/>
      <c r="C117" s="27" t="s">
        <v>615</v>
      </c>
      <c r="D117" s="27" t="s">
        <v>639</v>
      </c>
      <c r="E117" s="25">
        <f>VALUE(LEFT('Process Development'!F30,LEN('Process Development'!F30)-LEN(D117)))</f>
        <v>4.8</v>
      </c>
      <c r="F117" s="25">
        <v>2.4</v>
      </c>
      <c r="G117" s="25">
        <v>2.7</v>
      </c>
      <c r="H117" s="25">
        <v>3.2</v>
      </c>
      <c r="I117" s="25">
        <v>3.6</v>
      </c>
      <c r="J117" s="27">
        <v>3</v>
      </c>
      <c r="K117" s="27">
        <v>3.7</v>
      </c>
      <c r="L117" s="27">
        <v>3.9</v>
      </c>
      <c r="M117" s="27">
        <v>4.4000000000000004</v>
      </c>
    </row>
    <row r="118" spans="1:29" s="8" customFormat="1" x14ac:dyDescent="0.25">
      <c r="A118" s="319"/>
      <c r="B118" s="319"/>
      <c r="C118" s="8" t="s">
        <v>616</v>
      </c>
      <c r="D118" s="8" t="s">
        <v>265</v>
      </c>
      <c r="E118" s="24">
        <f>VALUE(LEFT('Process Development'!F31,LEN('Process Development'!F31)-LEN(D118)))</f>
        <v>271.3</v>
      </c>
      <c r="F118" s="24">
        <v>112.3</v>
      </c>
      <c r="G118" s="24">
        <v>183.2</v>
      </c>
      <c r="H118" s="24">
        <v>183.7</v>
      </c>
      <c r="I118" s="24">
        <v>182</v>
      </c>
      <c r="J118" s="8">
        <v>180.1</v>
      </c>
      <c r="K118" s="8">
        <v>198.7</v>
      </c>
      <c r="L118" s="8">
        <v>256.39999999999998</v>
      </c>
      <c r="M118" s="8">
        <v>274.2</v>
      </c>
    </row>
    <row r="119" spans="1:29" s="27" customFormat="1" x14ac:dyDescent="0.25">
      <c r="A119" s="319"/>
      <c r="B119" s="319"/>
      <c r="C119" s="27" t="s">
        <v>617</v>
      </c>
      <c r="D119" s="27" t="s">
        <v>264</v>
      </c>
      <c r="E119" s="25">
        <f>VALUE(LEFT('Process Development'!F32,LEN('Process Development'!F32)-LEN(D119)))</f>
        <v>1385</v>
      </c>
      <c r="F119" s="25">
        <v>575</v>
      </c>
      <c r="G119" s="25">
        <v>923.1</v>
      </c>
      <c r="H119" s="25">
        <v>928.1</v>
      </c>
      <c r="I119" s="25">
        <v>928.1</v>
      </c>
      <c r="J119" s="27">
        <v>928.1</v>
      </c>
      <c r="K119" s="27">
        <v>1003.6</v>
      </c>
      <c r="L119" s="27">
        <v>1294.5</v>
      </c>
      <c r="M119" s="27">
        <v>1385</v>
      </c>
    </row>
    <row r="120" spans="1:29" s="8" customFormat="1" x14ac:dyDescent="0.25">
      <c r="A120" s="319"/>
      <c r="B120" s="319"/>
      <c r="C120" s="8" t="s">
        <v>627</v>
      </c>
      <c r="D120" s="8" t="s">
        <v>640</v>
      </c>
      <c r="E120" s="24">
        <f>VALUE(LEFT('Process Development'!F33,LEN('Process Development'!F33)-LEN(D120)))</f>
        <v>101</v>
      </c>
      <c r="F120" s="24">
        <v>101</v>
      </c>
      <c r="G120" s="24">
        <v>101</v>
      </c>
      <c r="H120" s="24">
        <v>101</v>
      </c>
      <c r="I120" s="24">
        <v>101</v>
      </c>
      <c r="J120" s="8">
        <v>101</v>
      </c>
      <c r="K120" s="8">
        <v>101</v>
      </c>
      <c r="L120" s="8">
        <v>101</v>
      </c>
      <c r="M120" s="8">
        <v>101</v>
      </c>
    </row>
    <row r="121" spans="1:29" s="26" customFormat="1" ht="7.5" customHeight="1" x14ac:dyDescent="0.25">
      <c r="A121" s="12"/>
      <c r="B121" s="12"/>
      <c r="C121" s="13"/>
      <c r="D121" s="13"/>
    </row>
    <row r="122" spans="1:29" s="31" customFormat="1" x14ac:dyDescent="0.25">
      <c r="A122" s="188"/>
      <c r="B122" s="188"/>
      <c r="C122" s="31" t="s">
        <v>653</v>
      </c>
      <c r="D122" s="31" t="s">
        <v>125</v>
      </c>
      <c r="E122" s="31">
        <f>IF(E21="","",E21/(E10+0.5*E7+0.75*E9))</f>
        <v>6.9660503428498971E-2</v>
      </c>
      <c r="F122" s="31">
        <f t="shared" ref="F122:AC122" si="0">IF(F21="","",F21/(F10+0.5*F7+0.75*F9))</f>
        <v>9.6500183770980519E-2</v>
      </c>
      <c r="G122" s="31">
        <f t="shared" si="0"/>
        <v>8.9482849050666113E-2</v>
      </c>
      <c r="H122" s="31">
        <f t="shared" si="0"/>
        <v>8.0135966377198845E-2</v>
      </c>
      <c r="I122" s="31">
        <f t="shared" si="0"/>
        <v>6.9015564786547218E-2</v>
      </c>
      <c r="J122" s="31">
        <f t="shared" si="0"/>
        <v>5.9488088500678063E-2</v>
      </c>
      <c r="K122" s="31">
        <f t="shared" si="0"/>
        <v>5.0645095532458627E-2</v>
      </c>
      <c r="L122" s="31">
        <v>5.152836688330012E-2</v>
      </c>
      <c r="M122" s="31">
        <v>5.8023601254332396E-2</v>
      </c>
      <c r="N122" s="31" t="str">
        <f t="shared" si="0"/>
        <v/>
      </c>
      <c r="O122" s="31" t="str">
        <f t="shared" si="0"/>
        <v/>
      </c>
      <c r="P122" s="31" t="str">
        <f t="shared" si="0"/>
        <v/>
      </c>
      <c r="Q122" s="31" t="str">
        <f t="shared" si="0"/>
        <v/>
      </c>
      <c r="R122" s="31" t="str">
        <f t="shared" si="0"/>
        <v/>
      </c>
      <c r="S122" s="31" t="str">
        <f t="shared" si="0"/>
        <v/>
      </c>
      <c r="T122" s="31" t="str">
        <f t="shared" si="0"/>
        <v/>
      </c>
      <c r="U122" s="31" t="str">
        <f t="shared" si="0"/>
        <v/>
      </c>
      <c r="V122" s="31" t="str">
        <f t="shared" si="0"/>
        <v/>
      </c>
      <c r="W122" s="31" t="str">
        <f t="shared" si="0"/>
        <v/>
      </c>
      <c r="X122" s="31" t="str">
        <f t="shared" si="0"/>
        <v/>
      </c>
      <c r="Y122" s="31" t="str">
        <f t="shared" si="0"/>
        <v/>
      </c>
      <c r="Z122" s="31" t="str">
        <f t="shared" si="0"/>
        <v/>
      </c>
      <c r="AA122" s="31" t="str">
        <f t="shared" si="0"/>
        <v/>
      </c>
      <c r="AB122" s="31" t="str">
        <f t="shared" si="0"/>
        <v/>
      </c>
      <c r="AC122" s="31" t="str">
        <f t="shared" si="0"/>
        <v/>
      </c>
    </row>
    <row r="130" spans="5:5" x14ac:dyDescent="0.25">
      <c r="E130" s="267"/>
    </row>
  </sheetData>
  <mergeCells count="16">
    <mergeCell ref="B99:B109"/>
    <mergeCell ref="B110:B120"/>
    <mergeCell ref="A88:A120"/>
    <mergeCell ref="B47:B61"/>
    <mergeCell ref="B62:B76"/>
    <mergeCell ref="B77:B87"/>
    <mergeCell ref="A47:A87"/>
    <mergeCell ref="B88:B98"/>
    <mergeCell ref="A1:C1"/>
    <mergeCell ref="A2:A25"/>
    <mergeCell ref="A27:A45"/>
    <mergeCell ref="B2:B13"/>
    <mergeCell ref="B14:B25"/>
    <mergeCell ref="B36:B45"/>
    <mergeCell ref="B27:B31"/>
    <mergeCell ref="B32:B35"/>
  </mergeCells>
  <conditionalFormatting sqref="E2">
    <cfRule type="expression" dxfId="72" priority="47">
      <formula>$E$2&gt;=$F$2</formula>
    </cfRule>
    <cfRule type="expression" dxfId="71" priority="48">
      <formula>$E$2&lt;$F$2</formula>
    </cfRule>
  </conditionalFormatting>
  <conditionalFormatting sqref="E3">
    <cfRule type="expression" dxfId="70" priority="45">
      <formula>$E$3&gt;=$F$3</formula>
    </cfRule>
    <cfRule type="expression" dxfId="69" priority="46">
      <formula>$E$3&lt;$F$3</formula>
    </cfRule>
  </conditionalFormatting>
  <conditionalFormatting sqref="E4">
    <cfRule type="expression" dxfId="68" priority="43">
      <formula>$E$4&gt;=$F$4</formula>
    </cfRule>
    <cfRule type="expression" dxfId="67" priority="44">
      <formula>$E$4&lt;$F$4</formula>
    </cfRule>
  </conditionalFormatting>
  <conditionalFormatting sqref="E5">
    <cfRule type="expression" dxfId="66" priority="41">
      <formula>$E$5&gt;=$F$5</formula>
    </cfRule>
    <cfRule type="expression" dxfId="65" priority="42">
      <formula>$E$5&lt;$F$5</formula>
    </cfRule>
  </conditionalFormatting>
  <conditionalFormatting sqref="E6">
    <cfRule type="expression" dxfId="64" priority="39">
      <formula>$E$6&gt;=$F$6</formula>
    </cfRule>
    <cfRule type="expression" dxfId="63" priority="40">
      <formula>$E$6&lt;$F$6</formula>
    </cfRule>
  </conditionalFormatting>
  <conditionalFormatting sqref="E7">
    <cfRule type="expression" dxfId="62" priority="37">
      <formula>$E$7&gt;=$F$7</formula>
    </cfRule>
    <cfRule type="expression" dxfId="61" priority="38">
      <formula>$E$7&lt;$F$7</formula>
    </cfRule>
  </conditionalFormatting>
  <conditionalFormatting sqref="E8">
    <cfRule type="expression" dxfId="60" priority="35">
      <formula>$E$8&gt;=$F$8</formula>
    </cfRule>
    <cfRule type="expression" dxfId="59" priority="36">
      <formula>$E$8&lt;$F$8</formula>
    </cfRule>
  </conditionalFormatting>
  <conditionalFormatting sqref="E9">
    <cfRule type="expression" dxfId="58" priority="33">
      <formula>$E$9&gt;=$F$9</formula>
    </cfRule>
    <cfRule type="expression" dxfId="57" priority="34">
      <formula>$E$9&lt;$F$9</formula>
    </cfRule>
  </conditionalFormatting>
  <conditionalFormatting sqref="E10">
    <cfRule type="expression" dxfId="56" priority="31">
      <formula>$E$10&gt;=$F$10</formula>
    </cfRule>
    <cfRule type="expression" dxfId="55" priority="32">
      <formula>$E$10&lt;$F$10</formula>
    </cfRule>
  </conditionalFormatting>
  <conditionalFormatting sqref="E11">
    <cfRule type="expression" dxfId="54" priority="29">
      <formula>$E$11&gt;=$F$11</formula>
    </cfRule>
    <cfRule type="expression" dxfId="53" priority="30">
      <formula>$E$11&lt;$F$11</formula>
    </cfRule>
  </conditionalFormatting>
  <conditionalFormatting sqref="E12">
    <cfRule type="expression" dxfId="52" priority="27">
      <formula>$E$12&gt;=$F$12</formula>
    </cfRule>
    <cfRule type="expression" dxfId="51" priority="28">
      <formula>$E$12&lt;$F$12</formula>
    </cfRule>
  </conditionalFormatting>
  <conditionalFormatting sqref="E13">
    <cfRule type="expression" dxfId="50" priority="25">
      <formula>$E$13&gt;=$F$13</formula>
    </cfRule>
    <cfRule type="expression" dxfId="49" priority="26">
      <formula>$E$13&lt;$F$13</formula>
    </cfRule>
  </conditionalFormatting>
  <conditionalFormatting sqref="E14">
    <cfRule type="expression" dxfId="48" priority="23">
      <formula>$E$14&gt;=$F$14</formula>
    </cfRule>
    <cfRule type="expression" dxfId="47" priority="24">
      <formula>$E$14&lt;$F$14</formula>
    </cfRule>
  </conditionalFormatting>
  <conditionalFormatting sqref="E15">
    <cfRule type="expression" dxfId="46" priority="21">
      <formula>$E$15&gt;=$F$15</formula>
    </cfRule>
    <cfRule type="expression" dxfId="45" priority="22">
      <formula>$E$15&lt;$F$15</formula>
    </cfRule>
  </conditionalFormatting>
  <conditionalFormatting sqref="E16">
    <cfRule type="expression" dxfId="44" priority="19">
      <formula>$E$16&gt;=$F$16</formula>
    </cfRule>
    <cfRule type="expression" dxfId="43" priority="20">
      <formula>$E$16&lt;$F$16</formula>
    </cfRule>
  </conditionalFormatting>
  <conditionalFormatting sqref="E17">
    <cfRule type="expression" dxfId="42" priority="17">
      <formula>$E$17&gt;=$F$17</formula>
    </cfRule>
    <cfRule type="expression" dxfId="41" priority="18">
      <formula>$E$17&lt;$F$17</formula>
    </cfRule>
  </conditionalFormatting>
  <conditionalFormatting sqref="E18">
    <cfRule type="expression" dxfId="40" priority="15">
      <formula>$E$18&gt;=$F$18</formula>
    </cfRule>
    <cfRule type="expression" dxfId="39" priority="16">
      <formula>$E$18&lt;$F$18</formula>
    </cfRule>
  </conditionalFormatting>
  <conditionalFormatting sqref="E19">
    <cfRule type="expression" dxfId="38" priority="13">
      <formula>$E$19&gt;=$F$19</formula>
    </cfRule>
    <cfRule type="expression" dxfId="37" priority="14">
      <formula>$E$19&lt;$F$19</formula>
    </cfRule>
  </conditionalFormatting>
  <conditionalFormatting sqref="E20">
    <cfRule type="expression" dxfId="36" priority="11">
      <formula>$E$20&gt;=$F$20</formula>
    </cfRule>
    <cfRule type="expression" dxfId="35" priority="12">
      <formula>$E$20&lt;$F$20</formula>
    </cfRule>
  </conditionalFormatting>
  <conditionalFormatting sqref="E21">
    <cfRule type="expression" dxfId="34" priority="9">
      <formula>$E$21&gt;=$F$21</formula>
    </cfRule>
    <cfRule type="expression" dxfId="33" priority="10">
      <formula>$E$21&lt;$F$21</formula>
    </cfRule>
  </conditionalFormatting>
  <conditionalFormatting sqref="E22">
    <cfRule type="expression" dxfId="32" priority="8">
      <formula>$E$22&lt;$F$22</formula>
    </cfRule>
  </conditionalFormatting>
  <conditionalFormatting sqref="E22">
    <cfRule type="expression" dxfId="31" priority="7">
      <formula>$E$22&gt;=$F$22</formula>
    </cfRule>
  </conditionalFormatting>
  <conditionalFormatting sqref="E23">
    <cfRule type="expression" dxfId="30" priority="6">
      <formula>$E$23&lt;$F$23</formula>
    </cfRule>
  </conditionalFormatting>
  <conditionalFormatting sqref="E23">
    <cfRule type="expression" dxfId="29" priority="5">
      <formula>$E$23&gt;=$F$23</formula>
    </cfRule>
  </conditionalFormatting>
  <conditionalFormatting sqref="E24">
    <cfRule type="expression" dxfId="28" priority="4">
      <formula>$E$24&lt;$F$24</formula>
    </cfRule>
  </conditionalFormatting>
  <conditionalFormatting sqref="E24">
    <cfRule type="expression" dxfId="27" priority="3">
      <formula>$E$24&gt;=$F$24</formula>
    </cfRule>
  </conditionalFormatting>
  <conditionalFormatting sqref="E25">
    <cfRule type="expression" dxfId="26" priority="2">
      <formula>$E$25&lt;$F$25</formula>
    </cfRule>
  </conditionalFormatting>
  <conditionalFormatting sqref="E25">
    <cfRule type="expression" dxfId="25" priority="1">
      <formula>$E$25&gt;=$F$25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_ProcessDev"/>
  <dimension ref="A1:F33"/>
  <sheetViews>
    <sheetView workbookViewId="0">
      <selection activeCell="F14" sqref="F14"/>
    </sheetView>
  </sheetViews>
  <sheetFormatPr baseColWidth="10" defaultRowHeight="15" x14ac:dyDescent="0.25"/>
  <cols>
    <col min="1" max="1" width="36.85546875" customWidth="1"/>
    <col min="2" max="2" width="16.140625" customWidth="1"/>
    <col min="3" max="3" width="37" customWidth="1"/>
    <col min="4" max="4" width="16.140625" customWidth="1"/>
    <col min="5" max="5" width="33.85546875" customWidth="1"/>
    <col min="6" max="6" width="16.140625" customWidth="1"/>
    <col min="7" max="7" width="37" bestFit="1" customWidth="1"/>
    <col min="8" max="8" width="16.140625" bestFit="1" customWidth="1"/>
    <col min="9" max="9" width="33.85546875" bestFit="1" customWidth="1"/>
    <col min="10" max="10" width="16.140625" bestFit="1" customWidth="1"/>
  </cols>
  <sheetData>
    <row r="1" spans="1:6" x14ac:dyDescent="0.25">
      <c r="A1" t="s">
        <v>602</v>
      </c>
    </row>
    <row r="2" spans="1:6" x14ac:dyDescent="0.25">
      <c r="A2" t="s">
        <v>603</v>
      </c>
      <c r="C2" t="s">
        <v>619</v>
      </c>
      <c r="E2" t="s">
        <v>628</v>
      </c>
    </row>
    <row r="3" spans="1:6" x14ac:dyDescent="0.25">
      <c r="A3" t="s">
        <v>554</v>
      </c>
      <c r="B3" t="s">
        <v>797</v>
      </c>
      <c r="C3" t="s">
        <v>554</v>
      </c>
      <c r="D3" t="s">
        <v>797</v>
      </c>
      <c r="E3" t="s">
        <v>554</v>
      </c>
      <c r="F3" t="s">
        <v>797</v>
      </c>
    </row>
    <row r="4" spans="1:6" x14ac:dyDescent="0.25">
      <c r="A4" t="s">
        <v>604</v>
      </c>
      <c r="B4" t="s">
        <v>798</v>
      </c>
      <c r="C4" t="s">
        <v>620</v>
      </c>
      <c r="D4" t="s">
        <v>801</v>
      </c>
      <c r="E4" t="s">
        <v>629</v>
      </c>
      <c r="F4" t="s">
        <v>817</v>
      </c>
    </row>
    <row r="5" spans="1:6" x14ac:dyDescent="0.25">
      <c r="A5" t="s">
        <v>605</v>
      </c>
      <c r="B5" t="s">
        <v>799</v>
      </c>
      <c r="C5" t="s">
        <v>621</v>
      </c>
      <c r="D5" t="s">
        <v>802</v>
      </c>
      <c r="E5" t="s">
        <v>630</v>
      </c>
      <c r="F5" t="s">
        <v>818</v>
      </c>
    </row>
    <row r="6" spans="1:6" x14ac:dyDescent="0.25">
      <c r="A6" t="s">
        <v>606</v>
      </c>
      <c r="B6" t="s">
        <v>800</v>
      </c>
      <c r="C6" t="s">
        <v>622</v>
      </c>
      <c r="D6" t="s">
        <v>803</v>
      </c>
      <c r="E6" t="s">
        <v>610</v>
      </c>
      <c r="F6" s="3">
        <v>2.4E-2</v>
      </c>
    </row>
    <row r="7" spans="1:6" x14ac:dyDescent="0.25">
      <c r="A7" t="s">
        <v>607</v>
      </c>
      <c r="B7" t="s">
        <v>801</v>
      </c>
      <c r="C7" t="s">
        <v>623</v>
      </c>
      <c r="D7" t="s">
        <v>809</v>
      </c>
      <c r="E7" t="s">
        <v>631</v>
      </c>
      <c r="F7" s="3">
        <v>0.79</v>
      </c>
    </row>
    <row r="8" spans="1:6" x14ac:dyDescent="0.25">
      <c r="A8" t="s">
        <v>608</v>
      </c>
      <c r="B8" t="s">
        <v>802</v>
      </c>
      <c r="C8" t="s">
        <v>624</v>
      </c>
      <c r="D8" t="s">
        <v>810</v>
      </c>
      <c r="E8" t="s">
        <v>632</v>
      </c>
      <c r="F8" t="s">
        <v>819</v>
      </c>
    </row>
    <row r="9" spans="1:6" x14ac:dyDescent="0.25">
      <c r="A9" t="s">
        <v>609</v>
      </c>
      <c r="B9" t="s">
        <v>803</v>
      </c>
      <c r="C9" t="s">
        <v>625</v>
      </c>
      <c r="D9" t="s">
        <v>811</v>
      </c>
      <c r="E9" t="s">
        <v>613</v>
      </c>
      <c r="F9" s="3">
        <v>1</v>
      </c>
    </row>
    <row r="10" spans="1:6" x14ac:dyDescent="0.25">
      <c r="A10" t="s">
        <v>610</v>
      </c>
      <c r="B10" s="3">
        <v>4.9000000000000002E-2</v>
      </c>
      <c r="C10" t="s">
        <v>610</v>
      </c>
      <c r="D10" s="3">
        <v>4.2999999999999997E-2</v>
      </c>
      <c r="E10" t="s">
        <v>614</v>
      </c>
      <c r="F10" s="3">
        <v>0.66900000000000004</v>
      </c>
    </row>
    <row r="11" spans="1:6" x14ac:dyDescent="0.25">
      <c r="A11" t="s">
        <v>611</v>
      </c>
      <c r="B11" s="3">
        <v>0.95099999999999996</v>
      </c>
      <c r="C11" t="s">
        <v>626</v>
      </c>
      <c r="D11" s="3">
        <v>0.95699999999999996</v>
      </c>
      <c r="E11" t="s">
        <v>615</v>
      </c>
      <c r="F11" t="s">
        <v>820</v>
      </c>
    </row>
    <row r="12" spans="1:6" x14ac:dyDescent="0.25">
      <c r="A12" t="s">
        <v>612</v>
      </c>
      <c r="B12" t="s">
        <v>804</v>
      </c>
      <c r="C12" t="s">
        <v>612</v>
      </c>
      <c r="D12" t="s">
        <v>812</v>
      </c>
      <c r="E12" t="s">
        <v>616</v>
      </c>
      <c r="F12" t="s">
        <v>821</v>
      </c>
    </row>
    <row r="13" spans="1:6" x14ac:dyDescent="0.25">
      <c r="A13" t="s">
        <v>613</v>
      </c>
      <c r="B13" s="3">
        <v>0.63800000000000001</v>
      </c>
      <c r="C13" t="s">
        <v>613</v>
      </c>
      <c r="D13" s="3">
        <v>0.69799999999999995</v>
      </c>
      <c r="E13" t="s">
        <v>617</v>
      </c>
      <c r="F13" t="s">
        <v>822</v>
      </c>
    </row>
    <row r="14" spans="1:6" x14ac:dyDescent="0.25">
      <c r="A14" t="s">
        <v>614</v>
      </c>
      <c r="B14" s="3">
        <v>4.2999999999999997E-2</v>
      </c>
      <c r="C14" t="s">
        <v>614</v>
      </c>
      <c r="D14" s="3">
        <v>0.182</v>
      </c>
      <c r="E14" t="s">
        <v>618</v>
      </c>
      <c r="F14" t="s">
        <v>823</v>
      </c>
    </row>
    <row r="15" spans="1:6" x14ac:dyDescent="0.25">
      <c r="A15" t="s">
        <v>615</v>
      </c>
      <c r="B15" t="s">
        <v>805</v>
      </c>
      <c r="C15" t="s">
        <v>615</v>
      </c>
      <c r="D15" t="s">
        <v>813</v>
      </c>
    </row>
    <row r="16" spans="1:6" x14ac:dyDescent="0.25">
      <c r="A16" t="s">
        <v>616</v>
      </c>
      <c r="B16" t="s">
        <v>806</v>
      </c>
      <c r="C16" t="s">
        <v>616</v>
      </c>
      <c r="D16" t="s">
        <v>814</v>
      </c>
    </row>
    <row r="17" spans="1:6" x14ac:dyDescent="0.25">
      <c r="A17" t="s">
        <v>617</v>
      </c>
      <c r="B17" t="s">
        <v>807</v>
      </c>
      <c r="C17" t="s">
        <v>617</v>
      </c>
      <c r="D17" t="s">
        <v>815</v>
      </c>
    </row>
    <row r="18" spans="1:6" x14ac:dyDescent="0.25">
      <c r="A18" t="s">
        <v>618</v>
      </c>
      <c r="B18" t="s">
        <v>808</v>
      </c>
      <c r="C18" t="s">
        <v>627</v>
      </c>
      <c r="D18" t="s">
        <v>816</v>
      </c>
    </row>
    <row r="20" spans="1:6" x14ac:dyDescent="0.25">
      <c r="A20" t="s">
        <v>633</v>
      </c>
    </row>
    <row r="21" spans="1:6" x14ac:dyDescent="0.25">
      <c r="A21" t="s">
        <v>603</v>
      </c>
      <c r="C21" t="s">
        <v>619</v>
      </c>
      <c r="E21" t="s">
        <v>628</v>
      </c>
    </row>
    <row r="22" spans="1:6" x14ac:dyDescent="0.25">
      <c r="A22" t="s">
        <v>554</v>
      </c>
      <c r="B22" t="s">
        <v>797</v>
      </c>
      <c r="C22" t="s">
        <v>554</v>
      </c>
      <c r="D22" t="s">
        <v>797</v>
      </c>
      <c r="E22" t="s">
        <v>554</v>
      </c>
      <c r="F22" t="s">
        <v>797</v>
      </c>
    </row>
    <row r="23" spans="1:6" x14ac:dyDescent="0.25">
      <c r="A23" t="s">
        <v>634</v>
      </c>
      <c r="B23" t="s">
        <v>824</v>
      </c>
      <c r="C23" t="s">
        <v>636</v>
      </c>
      <c r="D23" t="s">
        <v>825</v>
      </c>
      <c r="E23" t="s">
        <v>629</v>
      </c>
      <c r="F23" t="s">
        <v>837</v>
      </c>
    </row>
    <row r="24" spans="1:6" x14ac:dyDescent="0.25">
      <c r="A24" t="s">
        <v>635</v>
      </c>
      <c r="B24" t="s">
        <v>825</v>
      </c>
      <c r="C24" t="s">
        <v>637</v>
      </c>
      <c r="D24" t="s">
        <v>831</v>
      </c>
      <c r="E24" t="s">
        <v>630</v>
      </c>
      <c r="F24" t="s">
        <v>838</v>
      </c>
    </row>
    <row r="25" spans="1:6" x14ac:dyDescent="0.25">
      <c r="A25" t="s">
        <v>610</v>
      </c>
      <c r="B25" s="3">
        <v>2.4E-2</v>
      </c>
      <c r="C25" t="s">
        <v>610</v>
      </c>
      <c r="D25" s="3">
        <v>2.3E-2</v>
      </c>
      <c r="E25" t="s">
        <v>610</v>
      </c>
      <c r="F25" s="3">
        <v>2.8000000000000001E-2</v>
      </c>
    </row>
    <row r="26" spans="1:6" x14ac:dyDescent="0.25">
      <c r="A26" t="s">
        <v>611</v>
      </c>
      <c r="B26" s="3">
        <v>0.63100000000000001</v>
      </c>
      <c r="C26" t="s">
        <v>626</v>
      </c>
      <c r="D26" s="3">
        <v>0.85299999999999998</v>
      </c>
      <c r="E26" t="s">
        <v>631</v>
      </c>
      <c r="F26" s="3">
        <v>0.622</v>
      </c>
    </row>
    <row r="27" spans="1:6" x14ac:dyDescent="0.25">
      <c r="A27" t="s">
        <v>612</v>
      </c>
      <c r="B27" t="s">
        <v>826</v>
      </c>
      <c r="C27" t="s">
        <v>632</v>
      </c>
      <c r="D27" t="s">
        <v>832</v>
      </c>
      <c r="E27" t="s">
        <v>632</v>
      </c>
      <c r="F27" t="s">
        <v>839</v>
      </c>
    </row>
    <row r="28" spans="1:6" x14ac:dyDescent="0.25">
      <c r="A28" t="s">
        <v>613</v>
      </c>
      <c r="B28" s="3">
        <v>1</v>
      </c>
      <c r="C28" t="s">
        <v>613</v>
      </c>
      <c r="D28" s="3">
        <v>1</v>
      </c>
      <c r="E28" t="s">
        <v>613</v>
      </c>
      <c r="F28" s="3">
        <v>1</v>
      </c>
    </row>
    <row r="29" spans="1:6" x14ac:dyDescent="0.25">
      <c r="A29" t="s">
        <v>614</v>
      </c>
      <c r="B29" s="3">
        <v>0.64800000000000002</v>
      </c>
      <c r="C29" t="s">
        <v>614</v>
      </c>
      <c r="D29" s="3">
        <v>0.67400000000000004</v>
      </c>
      <c r="E29" t="s">
        <v>614</v>
      </c>
      <c r="F29" s="3">
        <v>0.56899999999999995</v>
      </c>
    </row>
    <row r="30" spans="1:6" x14ac:dyDescent="0.25">
      <c r="A30" t="s">
        <v>615</v>
      </c>
      <c r="B30" t="s">
        <v>827</v>
      </c>
      <c r="C30" t="s">
        <v>615</v>
      </c>
      <c r="D30" t="s">
        <v>833</v>
      </c>
      <c r="E30" t="s">
        <v>615</v>
      </c>
      <c r="F30" t="s">
        <v>840</v>
      </c>
    </row>
    <row r="31" spans="1:6" x14ac:dyDescent="0.25">
      <c r="A31" t="s">
        <v>616</v>
      </c>
      <c r="B31" t="s">
        <v>828</v>
      </c>
      <c r="C31" t="s">
        <v>616</v>
      </c>
      <c r="D31" t="s">
        <v>834</v>
      </c>
      <c r="E31" t="s">
        <v>616</v>
      </c>
      <c r="F31" t="s">
        <v>841</v>
      </c>
    </row>
    <row r="32" spans="1:6" x14ac:dyDescent="0.25">
      <c r="A32" t="s">
        <v>617</v>
      </c>
      <c r="B32" t="s">
        <v>829</v>
      </c>
      <c r="C32" t="s">
        <v>617</v>
      </c>
      <c r="D32" t="s">
        <v>835</v>
      </c>
      <c r="E32" t="s">
        <v>617</v>
      </c>
      <c r="F32" t="s">
        <v>815</v>
      </c>
    </row>
    <row r="33" spans="1:6" x14ac:dyDescent="0.25">
      <c r="A33" t="s">
        <v>627</v>
      </c>
      <c r="B33" t="s">
        <v>830</v>
      </c>
      <c r="C33" t="s">
        <v>627</v>
      </c>
      <c r="D33" t="s">
        <v>836</v>
      </c>
      <c r="E33" t="s">
        <v>627</v>
      </c>
      <c r="F33" t="s">
        <v>842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B_ResourceManagement">
    <tabColor rgb="FF0070C0"/>
  </sheetPr>
  <dimension ref="A1:AC63"/>
  <sheetViews>
    <sheetView zoomScale="75" zoomScaleNormal="90" zoomScalePageLayoutView="90" workbookViewId="0">
      <pane xSplit="3" ySplit="2" topLeftCell="G3" activePane="bottomRight" state="frozen"/>
      <selection pane="topRight" activeCell="D1" sqref="D1"/>
      <selection pane="bottomLeft" activeCell="A3" sqref="A3"/>
      <selection pane="bottomRight" activeCell="AC3" sqref="AC3"/>
    </sheetView>
  </sheetViews>
  <sheetFormatPr baseColWidth="10" defaultRowHeight="15" x14ac:dyDescent="0.25"/>
  <cols>
    <col min="1" max="2" width="4.140625" style="2" bestFit="1" customWidth="1"/>
    <col min="3" max="3" width="37.140625" bestFit="1" customWidth="1"/>
    <col min="4" max="4" width="11.42578125" style="5" bestFit="1" customWidth="1"/>
    <col min="5" max="5" width="7.28515625" style="23" bestFit="1" customWidth="1"/>
    <col min="6" max="6" width="50.85546875" bestFit="1" customWidth="1"/>
    <col min="7" max="7" width="7.28515625" style="1" bestFit="1" customWidth="1"/>
    <col min="8" max="8" width="16.7109375" style="5" customWidth="1"/>
    <col min="9" max="9" width="16.42578125" style="21" customWidth="1"/>
    <col min="10" max="10" width="12.7109375" style="257" bestFit="1" customWidth="1"/>
    <col min="11" max="11" width="12" style="257" customWidth="1"/>
    <col min="12" max="12" width="16.42578125" bestFit="1" customWidth="1"/>
    <col min="13" max="13" width="17.140625" style="175" customWidth="1"/>
    <col min="14" max="14" width="15.28515625" bestFit="1" customWidth="1"/>
    <col min="15" max="15" width="15.42578125" bestFit="1" customWidth="1"/>
  </cols>
  <sheetData>
    <row r="1" spans="1:29" s="15" customFormat="1" x14ac:dyDescent="0.25">
      <c r="A1" s="323" t="s">
        <v>123</v>
      </c>
      <c r="B1" s="323"/>
      <c r="C1" s="323"/>
      <c r="D1" s="321" t="s">
        <v>454</v>
      </c>
      <c r="E1" s="321"/>
      <c r="F1" s="321"/>
      <c r="G1" s="322" t="s">
        <v>128</v>
      </c>
      <c r="H1" s="322"/>
      <c r="I1" s="322"/>
      <c r="J1" s="315" t="s">
        <v>796</v>
      </c>
      <c r="K1" s="328"/>
      <c r="L1" s="328"/>
      <c r="M1" s="329"/>
      <c r="N1" s="325">
        <v>42302</v>
      </c>
      <c r="O1" s="326"/>
      <c r="P1" s="325">
        <v>42310</v>
      </c>
      <c r="Q1" s="326"/>
      <c r="R1" s="325">
        <v>42324</v>
      </c>
      <c r="S1" s="327"/>
      <c r="T1" s="325">
        <v>42332</v>
      </c>
      <c r="U1" s="326"/>
      <c r="V1" s="325">
        <v>42339</v>
      </c>
      <c r="W1" s="326"/>
      <c r="X1" s="325">
        <v>42346</v>
      </c>
      <c r="Y1" s="326"/>
      <c r="Z1" s="325">
        <v>42360</v>
      </c>
      <c r="AA1" s="326"/>
      <c r="AB1" s="325">
        <v>42380</v>
      </c>
      <c r="AC1" s="326"/>
    </row>
    <row r="2" spans="1:29" s="15" customFormat="1" x14ac:dyDescent="0.25">
      <c r="A2" s="323"/>
      <c r="B2" s="323"/>
      <c r="C2" s="323"/>
      <c r="D2" s="29" t="s">
        <v>262</v>
      </c>
      <c r="E2" s="29" t="s">
        <v>122</v>
      </c>
      <c r="F2" s="15" t="s">
        <v>260</v>
      </c>
      <c r="G2" s="17" t="s">
        <v>122</v>
      </c>
      <c r="H2" s="29" t="s">
        <v>262</v>
      </c>
      <c r="I2" s="20" t="s">
        <v>188</v>
      </c>
      <c r="J2" s="253" t="s">
        <v>186</v>
      </c>
      <c r="K2" s="253" t="s">
        <v>187</v>
      </c>
      <c r="L2" s="15" t="s">
        <v>642</v>
      </c>
      <c r="M2" s="173" t="s">
        <v>454</v>
      </c>
      <c r="N2" s="15" t="s">
        <v>262</v>
      </c>
      <c r="O2" s="15" t="s">
        <v>642</v>
      </c>
      <c r="P2" s="15" t="s">
        <v>262</v>
      </c>
      <c r="Q2" s="15" t="s">
        <v>642</v>
      </c>
      <c r="R2" s="15" t="s">
        <v>262</v>
      </c>
      <c r="S2" s="15" t="s">
        <v>642</v>
      </c>
      <c r="T2" s="15" t="s">
        <v>262</v>
      </c>
      <c r="U2" s="15" t="s">
        <v>642</v>
      </c>
      <c r="V2" s="15" t="s">
        <v>262</v>
      </c>
      <c r="W2" s="15" t="s">
        <v>642</v>
      </c>
      <c r="X2" s="15" t="s">
        <v>262</v>
      </c>
      <c r="Y2" s="15" t="s">
        <v>642</v>
      </c>
      <c r="Z2" s="15" t="s">
        <v>262</v>
      </c>
      <c r="AA2" s="15" t="s">
        <v>642</v>
      </c>
      <c r="AB2" s="15" t="s">
        <v>262</v>
      </c>
      <c r="AC2" s="15" t="s">
        <v>642</v>
      </c>
    </row>
    <row r="3" spans="1:29" s="24" customFormat="1" x14ac:dyDescent="0.25">
      <c r="A3" s="320" t="s">
        <v>50</v>
      </c>
      <c r="B3" s="320" t="s">
        <v>185</v>
      </c>
      <c r="C3" s="24" t="s">
        <v>189</v>
      </c>
      <c r="D3" s="24">
        <v>77500</v>
      </c>
      <c r="E3" s="32" t="s">
        <v>183</v>
      </c>
      <c r="F3" s="24" t="str">
        <f>VLOOKUP(C3,'CIO Resource Import'!A:I,5,FALSE)</f>
        <v>Salary Employee per Year</v>
      </c>
      <c r="G3" s="32" t="s">
        <v>263</v>
      </c>
      <c r="H3" s="24">
        <f>VALUE(LEFT(VLOOKUP(C3,'CIO Resource Import'!A:B,2,FALSE),LEN(VLOOKUP(C3,'CIO Resource Import'!A:B,2,FALSE))-LEN(G3)))</f>
        <v>0</v>
      </c>
      <c r="I3" s="24">
        <f>VALUE(LEFT(VLOOKUP(C3,'CIO Resource Import'!A:J,6,FALSE),LEN(VLOOKUP(C3,'CIO Resource Import'!A:J,6,FALSE))-LEN(G3)))</f>
        <v>0</v>
      </c>
      <c r="J3" s="254"/>
      <c r="K3" s="254"/>
      <c r="L3" s="24">
        <f>H3+J3-K3</f>
        <v>0</v>
      </c>
      <c r="M3" s="176"/>
      <c r="N3" s="24">
        <v>11.84</v>
      </c>
      <c r="O3" s="24">
        <v>11.84</v>
      </c>
      <c r="P3" s="24">
        <v>11.73</v>
      </c>
      <c r="Q3" s="24">
        <v>30.73</v>
      </c>
      <c r="R3" s="24">
        <v>30.55</v>
      </c>
      <c r="S3" s="24">
        <v>75.55</v>
      </c>
      <c r="T3" s="24">
        <v>70.180000000000007</v>
      </c>
      <c r="U3" s="24">
        <v>96.18</v>
      </c>
      <c r="V3" s="24">
        <v>95.67</v>
      </c>
      <c r="W3" s="24">
        <v>95.67</v>
      </c>
      <c r="X3" s="24">
        <v>95.12</v>
      </c>
      <c r="Y3" s="24">
        <v>50.120000000000005</v>
      </c>
      <c r="Z3" s="24">
        <v>49.74</v>
      </c>
      <c r="AA3" s="24">
        <v>20.000000000000004</v>
      </c>
      <c r="AB3" s="24">
        <v>19.850000000000001</v>
      </c>
      <c r="AC3" s="24">
        <v>0</v>
      </c>
    </row>
    <row r="4" spans="1:29" s="25" customFormat="1" x14ac:dyDescent="0.25">
      <c r="A4" s="320"/>
      <c r="B4" s="320"/>
      <c r="C4" s="25" t="s">
        <v>191</v>
      </c>
      <c r="D4" s="25">
        <v>77500</v>
      </c>
      <c r="E4" s="33" t="s">
        <v>183</v>
      </c>
      <c r="F4" s="25" t="str">
        <f>VLOOKUP(C4,'CIO Resource Import'!A:I,5,FALSE)</f>
        <v>Salary Employee per Year</v>
      </c>
      <c r="G4" s="33" t="s">
        <v>263</v>
      </c>
      <c r="H4" s="25">
        <f>VALUE(LEFT(VLOOKUP(C4,'CIO Resource Import'!A:B,2,FALSE),LEN(VLOOKUP(C4,'CIO Resource Import'!A:B,2,FALSE))-LEN(G4)))</f>
        <v>9.7799999999999994</v>
      </c>
      <c r="I4" s="25">
        <f>VALUE(LEFT(VLOOKUP(C4,'CIO Resource Import'!A:J,6,FALSE),LEN(VLOOKUP(C4,'CIO Resource Import'!A:J,6,FALSE))-LEN(G4)))</f>
        <v>9.7799999999999994</v>
      </c>
      <c r="J4" s="255"/>
      <c r="K4" s="255"/>
      <c r="L4" s="25">
        <f t="shared" ref="L4:L31" si="0">H4+J4-K4</f>
        <v>9.7799999999999994</v>
      </c>
      <c r="M4" s="177"/>
      <c r="N4" s="25">
        <v>13.83</v>
      </c>
      <c r="O4" s="25">
        <v>13.83</v>
      </c>
      <c r="P4" s="25">
        <v>13.72</v>
      </c>
      <c r="Q4" s="25">
        <v>13.72</v>
      </c>
      <c r="R4" s="25">
        <v>13.6</v>
      </c>
      <c r="S4" s="25">
        <v>13.6</v>
      </c>
      <c r="T4" s="25">
        <v>13.46</v>
      </c>
      <c r="U4" s="25">
        <v>13.46</v>
      </c>
      <c r="V4" s="25">
        <v>13.31</v>
      </c>
      <c r="W4" s="25">
        <v>13.31</v>
      </c>
      <c r="X4" s="25">
        <v>13.15</v>
      </c>
      <c r="Y4" s="25">
        <v>10.15</v>
      </c>
      <c r="Z4" s="25">
        <v>10.02</v>
      </c>
      <c r="AA4" s="25">
        <v>10.02</v>
      </c>
      <c r="AB4" s="25">
        <v>9.9</v>
      </c>
      <c r="AC4" s="25">
        <v>9.9</v>
      </c>
    </row>
    <row r="5" spans="1:29" s="24" customFormat="1" x14ac:dyDescent="0.25">
      <c r="A5" s="320"/>
      <c r="B5" s="320"/>
      <c r="C5" s="24" t="s">
        <v>192</v>
      </c>
      <c r="D5" s="24">
        <v>77500</v>
      </c>
      <c r="E5" s="32" t="s">
        <v>183</v>
      </c>
      <c r="F5" s="24" t="str">
        <f>VLOOKUP(C5,'CIO Resource Import'!A:I,5,FALSE)</f>
        <v>Salary Employee per Year</v>
      </c>
      <c r="G5" s="32" t="s">
        <v>263</v>
      </c>
      <c r="H5" s="24">
        <f>VALUE(LEFT(VLOOKUP(C5,'CIO Resource Import'!A:B,2,FALSE),LEN(VLOOKUP(C5,'CIO Resource Import'!A:B,2,FALSE))-LEN(G5)))</f>
        <v>0.57999999999999996</v>
      </c>
      <c r="I5" s="24">
        <f>VALUE(LEFT(VLOOKUP(C5,'CIO Resource Import'!A:J,6,FALSE),LEN(VLOOKUP(C5,'CIO Resource Import'!A:J,6,FALSE))-LEN(G5)))</f>
        <v>0.57999999999999996</v>
      </c>
      <c r="J5" s="254"/>
      <c r="K5" s="254"/>
      <c r="L5" s="24">
        <f t="shared" si="0"/>
        <v>0.57999999999999996</v>
      </c>
      <c r="M5" s="176"/>
      <c r="N5" s="24">
        <v>13.82</v>
      </c>
      <c r="O5" s="24">
        <v>13.82</v>
      </c>
      <c r="P5" s="24">
        <v>13.66</v>
      </c>
      <c r="Q5" s="24">
        <v>13.66</v>
      </c>
      <c r="R5" s="24">
        <v>13.43</v>
      </c>
      <c r="S5" s="24">
        <v>8.43</v>
      </c>
      <c r="T5" s="24">
        <v>8.2100000000000009</v>
      </c>
      <c r="U5" s="24">
        <v>5.2100000000000009</v>
      </c>
      <c r="V5" s="24">
        <v>5.0199999999999996</v>
      </c>
      <c r="W5" s="24">
        <v>3.0199999999999996</v>
      </c>
      <c r="X5" s="24">
        <v>2.88</v>
      </c>
      <c r="Y5" s="24">
        <v>1.88</v>
      </c>
      <c r="Z5" s="24">
        <v>1.76</v>
      </c>
      <c r="AA5" s="24">
        <v>1.76</v>
      </c>
      <c r="AB5" s="24">
        <v>1.65</v>
      </c>
      <c r="AC5" s="24">
        <v>0.64999999999999991</v>
      </c>
    </row>
    <row r="6" spans="1:29" s="25" customFormat="1" x14ac:dyDescent="0.25">
      <c r="A6" s="320"/>
      <c r="B6" s="320"/>
      <c r="C6" s="25" t="s">
        <v>193</v>
      </c>
      <c r="D6" s="25">
        <v>77500</v>
      </c>
      <c r="E6" s="33" t="s">
        <v>183</v>
      </c>
      <c r="F6" s="25" t="str">
        <f>VLOOKUP(C6,'CIO Resource Import'!A:I,5,FALSE)</f>
        <v>Salary Employee per Year</v>
      </c>
      <c r="G6" s="33" t="s">
        <v>263</v>
      </c>
      <c r="H6" s="25">
        <f>VALUE(LEFT(VLOOKUP(C6,'CIO Resource Import'!A:B,2,FALSE),LEN(VLOOKUP(C6,'CIO Resource Import'!A:B,2,FALSE))-LEN(G6)))</f>
        <v>20.41</v>
      </c>
      <c r="I6" s="25">
        <f>VALUE(LEFT(VLOOKUP(C6,'CIO Resource Import'!A:J,6,FALSE),LEN(VLOOKUP(C6,'CIO Resource Import'!A:J,6,FALSE))-LEN(G6)))</f>
        <v>20.41</v>
      </c>
      <c r="J6" s="255"/>
      <c r="K6" s="255"/>
      <c r="L6" s="25">
        <f t="shared" si="0"/>
        <v>20.41</v>
      </c>
      <c r="M6" s="177"/>
      <c r="N6" s="25">
        <v>37.53</v>
      </c>
      <c r="O6" s="25">
        <v>37.53</v>
      </c>
      <c r="P6" s="25">
        <v>37.24</v>
      </c>
      <c r="Q6" s="25">
        <v>37.24</v>
      </c>
      <c r="R6" s="25">
        <v>36.950000000000003</v>
      </c>
      <c r="S6" s="25">
        <v>36.950000000000003</v>
      </c>
      <c r="T6" s="25">
        <v>36.65</v>
      </c>
      <c r="U6" s="25">
        <v>36.65</v>
      </c>
      <c r="V6" s="25">
        <v>36.35</v>
      </c>
      <c r="W6" s="25">
        <v>36.35</v>
      </c>
      <c r="X6" s="25">
        <v>36.07</v>
      </c>
      <c r="Y6" s="25">
        <v>31.07</v>
      </c>
      <c r="Z6" s="25">
        <v>30.83</v>
      </c>
      <c r="AA6" s="25">
        <v>30.83</v>
      </c>
      <c r="AB6" s="25">
        <v>30.59</v>
      </c>
      <c r="AC6" s="25">
        <v>20.59</v>
      </c>
    </row>
    <row r="7" spans="1:29" s="24" customFormat="1" x14ac:dyDescent="0.25">
      <c r="A7" s="320"/>
      <c r="B7" s="320"/>
      <c r="C7" s="24" t="s">
        <v>194</v>
      </c>
      <c r="D7" s="24">
        <v>77500</v>
      </c>
      <c r="E7" s="32" t="s">
        <v>183</v>
      </c>
      <c r="F7" s="24" t="str">
        <f>VLOOKUP(C7,'CIO Resource Import'!A:I,5,FALSE)</f>
        <v>Salary Employee per Year</v>
      </c>
      <c r="G7" s="32" t="s">
        <v>263</v>
      </c>
      <c r="H7" s="24">
        <f>VALUE(LEFT(VLOOKUP(C7,'CIO Resource Import'!A:B,2,FALSE),LEN(VLOOKUP(C7,'CIO Resource Import'!A:B,2,FALSE))-LEN(G7)))</f>
        <v>39.61</v>
      </c>
      <c r="I7" s="24">
        <f>VALUE(LEFT(VLOOKUP(C7,'CIO Resource Import'!A:J,6,FALSE),LEN(VLOOKUP(C7,'CIO Resource Import'!A:J,6,FALSE))-LEN(G7)))</f>
        <v>39.61</v>
      </c>
      <c r="J7" s="254"/>
      <c r="K7" s="254"/>
      <c r="L7" s="24">
        <f t="shared" si="0"/>
        <v>39.61</v>
      </c>
      <c r="M7" s="176"/>
      <c r="N7" s="24">
        <v>21.73</v>
      </c>
      <c r="O7" s="24">
        <v>21.73</v>
      </c>
      <c r="P7" s="24">
        <v>21.58</v>
      </c>
      <c r="Q7" s="24">
        <v>21.58</v>
      </c>
      <c r="R7" s="24">
        <v>21.41</v>
      </c>
      <c r="S7" s="24">
        <v>21.41</v>
      </c>
      <c r="T7" s="24">
        <v>21.19</v>
      </c>
      <c r="U7" s="24">
        <v>36.19</v>
      </c>
      <c r="V7" s="24">
        <v>35.880000000000003</v>
      </c>
      <c r="W7" s="24">
        <v>45.88</v>
      </c>
      <c r="X7" s="24">
        <v>45.53</v>
      </c>
      <c r="Y7" s="24">
        <v>40.53</v>
      </c>
      <c r="Z7" s="24">
        <v>40.21</v>
      </c>
      <c r="AA7" s="24">
        <v>40.21</v>
      </c>
      <c r="AB7" s="24">
        <v>39.9</v>
      </c>
      <c r="AC7" s="24">
        <v>39.9</v>
      </c>
    </row>
    <row r="8" spans="1:29" s="25" customFormat="1" x14ac:dyDescent="0.25">
      <c r="A8" s="320"/>
      <c r="B8" s="320" t="s">
        <v>195</v>
      </c>
      <c r="C8" s="25" t="s">
        <v>196</v>
      </c>
      <c r="D8" s="25">
        <v>5</v>
      </c>
      <c r="E8" s="33" t="s">
        <v>183</v>
      </c>
      <c r="F8" s="25" t="str">
        <f>VLOOKUP(C8,'CIO Resource Import'!A:I,5,FALSE)</f>
        <v>Price Server per MIPS</v>
      </c>
      <c r="G8" s="33" t="s">
        <v>266</v>
      </c>
      <c r="H8" s="25">
        <f>VALUE(LEFT(VLOOKUP(C8,'CIO Resource Import'!A:B,2,FALSE),LEN(VLOOKUP(C8,'CIO Resource Import'!A:B,2,FALSE))-LEN(G8)))</f>
        <v>116350.35</v>
      </c>
      <c r="I8" s="25">
        <f>VALUE(LEFT(VLOOKUP(C8,'CIO Resource Import'!A:J,6,FALSE),LEN(VLOOKUP(C8,'CIO Resource Import'!A:J,6,FALSE))-LEN(G8)))</f>
        <v>116350.35</v>
      </c>
      <c r="J8" s="255"/>
      <c r="K8" s="255"/>
      <c r="L8" s="25">
        <f t="shared" si="0"/>
        <v>116350.35</v>
      </c>
      <c r="M8" s="151">
        <f>J8*D8</f>
        <v>0</v>
      </c>
      <c r="N8" s="25">
        <v>59095.76</v>
      </c>
      <c r="O8" s="25">
        <v>59095.76</v>
      </c>
      <c r="P8" s="25">
        <v>58504.05</v>
      </c>
      <c r="Q8" s="25">
        <v>58504.05</v>
      </c>
      <c r="R8" s="25">
        <v>57876.83</v>
      </c>
      <c r="S8" s="25">
        <v>57876.83</v>
      </c>
      <c r="T8" s="25">
        <v>57215.39</v>
      </c>
      <c r="U8" s="25">
        <v>62215.39</v>
      </c>
      <c r="V8" s="25">
        <v>62494.16</v>
      </c>
      <c r="W8" s="25">
        <v>80494.16</v>
      </c>
      <c r="X8" s="25">
        <v>79651.509999999995</v>
      </c>
      <c r="Y8" s="25">
        <v>91651.51</v>
      </c>
      <c r="Z8" s="25">
        <v>90692.92</v>
      </c>
      <c r="AA8" s="25">
        <v>110692.92</v>
      </c>
      <c r="AB8" s="25">
        <v>109580.91</v>
      </c>
      <c r="AC8" s="25">
        <v>117580.91</v>
      </c>
    </row>
    <row r="9" spans="1:29" s="24" customFormat="1" x14ac:dyDescent="0.25">
      <c r="A9" s="320"/>
      <c r="B9" s="320"/>
      <c r="C9" s="24" t="s">
        <v>197</v>
      </c>
      <c r="D9" s="24">
        <v>600</v>
      </c>
      <c r="E9" s="32" t="s">
        <v>183</v>
      </c>
      <c r="F9" s="24" t="str">
        <f>VLOOKUP(C9,'CIO Resource Import'!A:I,5,FALSE)</f>
        <v>Price Storage per TB</v>
      </c>
      <c r="G9" s="32" t="s">
        <v>267</v>
      </c>
      <c r="H9" s="24">
        <f>VALUE(LEFT(VLOOKUP(C9,'CIO Resource Import'!A:B,2,FALSE),LEN(VLOOKUP(C9,'CIO Resource Import'!A:B,2,FALSE))-LEN(G9)))</f>
        <v>383</v>
      </c>
      <c r="I9" s="24">
        <f>VALUE(LEFT(VLOOKUP(C9,'CIO Resource Import'!A:J,6,FALSE),LEN(VLOOKUP(C9,'CIO Resource Import'!A:J,6,FALSE))-LEN(G9)))</f>
        <v>383</v>
      </c>
      <c r="J9" s="254"/>
      <c r="K9" s="254"/>
      <c r="L9" s="24">
        <f t="shared" si="0"/>
        <v>383</v>
      </c>
      <c r="M9" s="174">
        <f t="shared" ref="M9:M31" si="1">J9*D9</f>
        <v>0</v>
      </c>
      <c r="N9" s="24">
        <v>46.8</v>
      </c>
      <c r="O9" s="24">
        <v>46.8</v>
      </c>
      <c r="P9" s="24">
        <v>61.6</v>
      </c>
      <c r="Q9" s="24">
        <v>111.6</v>
      </c>
      <c r="R9" s="24">
        <v>110.7</v>
      </c>
      <c r="S9" s="24">
        <v>160.69999999999999</v>
      </c>
      <c r="T9" s="24">
        <v>159.5</v>
      </c>
      <c r="U9" s="24">
        <v>159.5</v>
      </c>
      <c r="V9" s="24">
        <v>158.1</v>
      </c>
      <c r="W9" s="24">
        <v>188.1</v>
      </c>
      <c r="X9" s="24">
        <v>196.7</v>
      </c>
      <c r="Y9" s="24">
        <v>256.7</v>
      </c>
      <c r="Z9" s="24">
        <v>254.6</v>
      </c>
      <c r="AA9" s="24">
        <v>254.6</v>
      </c>
      <c r="AB9" s="24">
        <v>315.7</v>
      </c>
      <c r="AC9" s="24">
        <v>375.7</v>
      </c>
    </row>
    <row r="10" spans="1:29" s="25" customFormat="1" x14ac:dyDescent="0.25">
      <c r="A10" s="320"/>
      <c r="B10" s="320"/>
      <c r="C10" s="25" t="s">
        <v>198</v>
      </c>
      <c r="D10" s="25">
        <v>400</v>
      </c>
      <c r="E10" s="33" t="s">
        <v>183</v>
      </c>
      <c r="F10" s="25" t="str">
        <f>VLOOKUP(C10,'CIO Resource Import'!A:I,5,FALSE)</f>
        <v>Price Comm. Infrastructure per TB/yr</v>
      </c>
      <c r="G10" s="33" t="s">
        <v>267</v>
      </c>
      <c r="H10" s="25">
        <f>VALUE(LEFT(VLOOKUP(C10,'CIO Resource Import'!A:B,2,FALSE),LEN(VLOOKUP(C10,'CIO Resource Import'!A:B,2,FALSE))-LEN(G10)))</f>
        <v>5037.25</v>
      </c>
      <c r="I10" s="25">
        <f>VALUE(LEFT(VLOOKUP(C10,'CIO Resource Import'!A:J,6,FALSE),LEN(VLOOKUP(C10,'CIO Resource Import'!A:J,6,FALSE))-LEN(G10)))</f>
        <v>5037.25</v>
      </c>
      <c r="J10" s="255"/>
      <c r="K10" s="255"/>
      <c r="L10" s="25">
        <f t="shared" si="0"/>
        <v>5037.25</v>
      </c>
      <c r="M10" s="151">
        <f t="shared" si="1"/>
        <v>0</v>
      </c>
      <c r="N10" s="25">
        <v>8742.15</v>
      </c>
      <c r="O10" s="25">
        <v>8742.15</v>
      </c>
      <c r="P10" s="25">
        <v>8636.0499999999993</v>
      </c>
      <c r="Q10" s="25">
        <v>8636.0499999999993</v>
      </c>
      <c r="R10" s="25">
        <v>8525.14</v>
      </c>
      <c r="S10" s="25">
        <v>8525.14</v>
      </c>
      <c r="T10" s="25">
        <v>8409.6299999999992</v>
      </c>
      <c r="U10" s="25">
        <v>8409.6299999999992</v>
      </c>
      <c r="V10" s="25">
        <v>8289.75</v>
      </c>
      <c r="W10" s="25">
        <v>8289.75</v>
      </c>
      <c r="X10" s="25">
        <v>8165.73</v>
      </c>
      <c r="Y10" s="25">
        <v>8165.73</v>
      </c>
      <c r="Z10" s="25">
        <v>8037.81</v>
      </c>
      <c r="AA10" s="25">
        <v>5179.2700000000013</v>
      </c>
      <c r="AB10" s="25">
        <v>5098.17</v>
      </c>
      <c r="AC10" s="25">
        <v>5098.17</v>
      </c>
    </row>
    <row r="11" spans="1:29" s="24" customFormat="1" x14ac:dyDescent="0.25">
      <c r="A11" s="320"/>
      <c r="B11" s="320"/>
      <c r="C11" s="24" t="s">
        <v>199</v>
      </c>
      <c r="D11" s="24">
        <v>600</v>
      </c>
      <c r="E11" s="32" t="s">
        <v>183</v>
      </c>
      <c r="F11" s="24" t="str">
        <f>VLOOKUP(C11,'CIO Resource Import'!A:I,5,FALSE)</f>
        <v>Price System Software per License</v>
      </c>
      <c r="G11" s="32" t="s">
        <v>264</v>
      </c>
      <c r="H11" s="24">
        <f>VALUE(LEFT(VLOOKUP(C11,'CIO Resource Import'!A:B,2,FALSE),LEN(VLOOKUP(C11,'CIO Resource Import'!A:B,2,FALSE))-LEN(G11)))</f>
        <v>155</v>
      </c>
      <c r="I11" s="24">
        <f>VALUE(LEFT(VLOOKUP(C11,'CIO Resource Import'!A:J,6,FALSE),LEN(VLOOKUP(C11,'CIO Resource Import'!A:J,6,FALSE))-LEN(G11)))</f>
        <v>155</v>
      </c>
      <c r="J11" s="254"/>
      <c r="K11" s="254"/>
      <c r="L11" s="24">
        <f t="shared" si="0"/>
        <v>155</v>
      </c>
      <c r="M11" s="174">
        <f t="shared" si="1"/>
        <v>0</v>
      </c>
      <c r="N11" s="24">
        <v>89</v>
      </c>
      <c r="O11" s="24">
        <v>89</v>
      </c>
      <c r="P11" s="24">
        <v>89</v>
      </c>
      <c r="Q11" s="24">
        <v>89</v>
      </c>
      <c r="R11" s="24">
        <v>89</v>
      </c>
      <c r="S11" s="24">
        <v>89</v>
      </c>
      <c r="T11" s="24">
        <v>89</v>
      </c>
      <c r="U11" s="24">
        <v>89</v>
      </c>
      <c r="V11" s="24">
        <v>89</v>
      </c>
      <c r="W11" s="24">
        <v>101</v>
      </c>
      <c r="X11" s="24">
        <v>101</v>
      </c>
      <c r="Y11" s="24">
        <v>115</v>
      </c>
      <c r="Z11" s="24">
        <v>115</v>
      </c>
      <c r="AA11" s="24">
        <v>155</v>
      </c>
      <c r="AB11" s="24">
        <v>155</v>
      </c>
      <c r="AC11" s="24">
        <v>155</v>
      </c>
    </row>
    <row r="12" spans="1:29" s="25" customFormat="1" x14ac:dyDescent="0.25">
      <c r="A12" s="320"/>
      <c r="B12" s="320" t="s">
        <v>200</v>
      </c>
      <c r="C12" s="25" t="s">
        <v>201</v>
      </c>
      <c r="D12" s="25">
        <v>2500</v>
      </c>
      <c r="E12" s="33" t="s">
        <v>183</v>
      </c>
      <c r="F12" s="25" t="str">
        <f>VLOOKUP(C12,'CIO Resource Import'!A:I,5,FALSE)</f>
        <v>Price per Desktop PC</v>
      </c>
      <c r="G12" s="33" t="s">
        <v>265</v>
      </c>
      <c r="H12" s="25">
        <f>VALUE(LEFT(VLOOKUP(C12,'CIO Resource Import'!A:B,2,FALSE),LEN(VLOOKUP(C12,'CIO Resource Import'!A:B,2,FALSE))-LEN(G12)))</f>
        <v>469.22</v>
      </c>
      <c r="I12" s="25">
        <f>VALUE(LEFT(VLOOKUP(C12,'CIO Resource Import'!A:J,6,FALSE),LEN(VLOOKUP(C12,'CIO Resource Import'!A:J,6,FALSE))-LEN(G12)))</f>
        <v>469.22</v>
      </c>
      <c r="J12" s="255"/>
      <c r="K12" s="255"/>
      <c r="L12" s="25">
        <f t="shared" si="0"/>
        <v>469.22</v>
      </c>
      <c r="M12" s="151">
        <f t="shared" si="1"/>
        <v>0</v>
      </c>
      <c r="N12" s="25">
        <v>49.03</v>
      </c>
      <c r="O12" s="25">
        <v>88.94</v>
      </c>
      <c r="P12" s="25">
        <v>88.34</v>
      </c>
      <c r="Q12" s="25">
        <v>91.4</v>
      </c>
      <c r="R12" s="25">
        <v>90.7</v>
      </c>
      <c r="S12" s="25">
        <v>141.87</v>
      </c>
      <c r="T12" s="25">
        <v>141.27000000000001</v>
      </c>
      <c r="U12" s="25">
        <v>144.11000000000001</v>
      </c>
      <c r="V12" s="25">
        <v>142.97</v>
      </c>
      <c r="W12" s="25">
        <v>142.97</v>
      </c>
      <c r="X12" s="25">
        <v>141.72999999999999</v>
      </c>
      <c r="Y12" s="25">
        <v>151.51</v>
      </c>
      <c r="Z12" s="25">
        <v>150.13</v>
      </c>
      <c r="AA12" s="25">
        <v>475.65</v>
      </c>
      <c r="AB12" s="25">
        <v>472.73</v>
      </c>
      <c r="AC12" s="25">
        <v>472.73</v>
      </c>
    </row>
    <row r="13" spans="1:29" s="24" customFormat="1" x14ac:dyDescent="0.25">
      <c r="A13" s="320"/>
      <c r="B13" s="320"/>
      <c r="C13" s="24" t="s">
        <v>202</v>
      </c>
      <c r="D13" s="24">
        <v>2500</v>
      </c>
      <c r="E13" s="32" t="s">
        <v>183</v>
      </c>
      <c r="F13" s="24" t="str">
        <f>VLOOKUP(C13,'CIO Resource Import'!A:I,5,FALSE)</f>
        <v>Price per Desktop PC</v>
      </c>
      <c r="G13" s="32" t="s">
        <v>265</v>
      </c>
      <c r="H13" s="24">
        <f>VALUE(LEFT(VLOOKUP(C13,'CIO Resource Import'!A:B,2,FALSE),LEN(VLOOKUP(C13,'CIO Resource Import'!A:B,2,FALSE))-LEN(G13)))</f>
        <v>418.55</v>
      </c>
      <c r="I13" s="24">
        <f>VALUE(LEFT(VLOOKUP(C13,'CIO Resource Import'!A:J,6,FALSE),LEN(VLOOKUP(C13,'CIO Resource Import'!A:J,6,FALSE))-LEN(G13)))</f>
        <v>418.55</v>
      </c>
      <c r="J13" s="254"/>
      <c r="K13" s="255"/>
      <c r="L13" s="24">
        <f t="shared" si="0"/>
        <v>418.55</v>
      </c>
      <c r="M13" s="174">
        <f t="shared" si="1"/>
        <v>0</v>
      </c>
      <c r="N13" s="24">
        <v>73.260000000000005</v>
      </c>
      <c r="O13" s="24">
        <v>73.260000000000005</v>
      </c>
      <c r="P13" s="24">
        <v>72.53</v>
      </c>
      <c r="Q13" s="24">
        <v>72.53</v>
      </c>
      <c r="R13" s="24">
        <v>71.75</v>
      </c>
      <c r="S13" s="24">
        <v>112.84</v>
      </c>
      <c r="T13" s="24">
        <v>111.84</v>
      </c>
      <c r="U13" s="24">
        <v>117.98</v>
      </c>
      <c r="V13" s="24">
        <v>116.84</v>
      </c>
      <c r="W13" s="24">
        <v>116.84</v>
      </c>
      <c r="X13" s="24">
        <v>115.63</v>
      </c>
      <c r="Y13" s="24">
        <v>137.73000000000002</v>
      </c>
      <c r="Z13" s="24">
        <v>136.35</v>
      </c>
      <c r="AA13" s="24">
        <v>424.6</v>
      </c>
      <c r="AB13" s="24">
        <v>421.83</v>
      </c>
      <c r="AC13" s="24">
        <v>421.83</v>
      </c>
    </row>
    <row r="14" spans="1:29" s="25" customFormat="1" x14ac:dyDescent="0.25">
      <c r="A14" s="320"/>
      <c r="B14" s="320"/>
      <c r="C14" s="25" t="s">
        <v>203</v>
      </c>
      <c r="D14" s="25">
        <v>2500</v>
      </c>
      <c r="E14" s="33" t="s">
        <v>183</v>
      </c>
      <c r="F14" s="25" t="str">
        <f>VLOOKUP(C14,'CIO Resource Import'!A:I,5,FALSE)</f>
        <v>Price per Desktop PC</v>
      </c>
      <c r="G14" s="33" t="s">
        <v>265</v>
      </c>
      <c r="H14" s="25">
        <f>VALUE(LEFT(VLOOKUP(C14,'CIO Resource Import'!A:B,2,FALSE),LEN(VLOOKUP(C14,'CIO Resource Import'!A:B,2,FALSE))-LEN(G14)))</f>
        <v>190.31</v>
      </c>
      <c r="I14" s="25">
        <f>VALUE(LEFT(VLOOKUP(C14,'CIO Resource Import'!A:J,6,FALSE),LEN(VLOOKUP(C14,'CIO Resource Import'!A:J,6,FALSE))-LEN(G14)))</f>
        <v>190.31</v>
      </c>
      <c r="J14" s="255"/>
      <c r="K14" s="255"/>
      <c r="L14" s="25">
        <f t="shared" si="0"/>
        <v>190.31</v>
      </c>
      <c r="M14" s="151">
        <f t="shared" si="1"/>
        <v>0</v>
      </c>
      <c r="N14" s="25">
        <v>175.18</v>
      </c>
      <c r="O14" s="25">
        <v>175.18</v>
      </c>
      <c r="P14" s="25">
        <v>173.18</v>
      </c>
      <c r="Q14" s="25">
        <v>173.18</v>
      </c>
      <c r="R14" s="25">
        <v>171.08</v>
      </c>
      <c r="S14" s="25">
        <v>189.25999999999996</v>
      </c>
      <c r="T14" s="25">
        <v>186.98</v>
      </c>
      <c r="U14" s="25">
        <v>223.95000000000002</v>
      </c>
      <c r="V14" s="25">
        <v>221.39</v>
      </c>
      <c r="W14" s="25">
        <v>221.39</v>
      </c>
      <c r="X14" s="25">
        <v>218.66</v>
      </c>
      <c r="Y14" s="25">
        <v>218.66</v>
      </c>
      <c r="Z14" s="25">
        <v>215.82</v>
      </c>
      <c r="AA14" s="25">
        <v>215.82</v>
      </c>
      <c r="AB14" s="25">
        <v>193.09</v>
      </c>
      <c r="AC14" s="25">
        <v>193.09</v>
      </c>
    </row>
    <row r="15" spans="1:29" s="24" customFormat="1" x14ac:dyDescent="0.25">
      <c r="A15" s="320"/>
      <c r="B15" s="320"/>
      <c r="C15" s="24" t="s">
        <v>204</v>
      </c>
      <c r="D15" s="24">
        <v>2500</v>
      </c>
      <c r="E15" s="32" t="s">
        <v>183</v>
      </c>
      <c r="F15" s="24" t="str">
        <f>VLOOKUP(C15,'CIO Resource Import'!A:I,5,FALSE)</f>
        <v>Price per Desktop PC</v>
      </c>
      <c r="G15" s="32" t="s">
        <v>265</v>
      </c>
      <c r="H15" s="24">
        <f>VALUE(LEFT(VLOOKUP(C15,'CIO Resource Import'!A:B,2,FALSE),LEN(VLOOKUP(C15,'CIO Resource Import'!A:B,2,FALSE))-LEN(G15)))</f>
        <v>90.85</v>
      </c>
      <c r="I15" s="24">
        <f>VALUE(LEFT(VLOOKUP(C15,'CIO Resource Import'!A:J,6,FALSE),LEN(VLOOKUP(C15,'CIO Resource Import'!A:J,6,FALSE))-LEN(G15)))</f>
        <v>90.85</v>
      </c>
      <c r="J15" s="254"/>
      <c r="K15" s="254"/>
      <c r="L15" s="24">
        <f t="shared" si="0"/>
        <v>90.85</v>
      </c>
      <c r="M15" s="174">
        <f t="shared" si="1"/>
        <v>0</v>
      </c>
      <c r="N15" s="24">
        <v>24.52</v>
      </c>
      <c r="O15" s="24">
        <v>34.520000000000003</v>
      </c>
      <c r="P15" s="24">
        <v>34.26</v>
      </c>
      <c r="Q15" s="24">
        <v>35.29</v>
      </c>
      <c r="R15" s="24">
        <v>35</v>
      </c>
      <c r="S15" s="24">
        <v>35</v>
      </c>
      <c r="T15" s="24">
        <v>34.69</v>
      </c>
      <c r="U15" s="24">
        <v>94.68</v>
      </c>
      <c r="V15" s="24">
        <v>94.07</v>
      </c>
      <c r="W15" s="24">
        <v>94.07</v>
      </c>
      <c r="X15" s="24">
        <v>93.36</v>
      </c>
      <c r="Y15" s="24">
        <v>93.36</v>
      </c>
      <c r="Z15" s="24">
        <v>92.58</v>
      </c>
      <c r="AA15" s="24">
        <v>92.58</v>
      </c>
      <c r="AB15" s="24">
        <v>91.74</v>
      </c>
      <c r="AC15" s="24">
        <v>91.74</v>
      </c>
    </row>
    <row r="16" spans="1:29" s="25" customFormat="1" x14ac:dyDescent="0.25">
      <c r="A16" s="320"/>
      <c r="B16" s="320"/>
      <c r="C16" s="25" t="s">
        <v>205</v>
      </c>
      <c r="D16" s="25">
        <v>2500</v>
      </c>
      <c r="E16" s="33" t="s">
        <v>183</v>
      </c>
      <c r="F16" s="25" t="str">
        <f>VLOOKUP(C16,'CIO Resource Import'!A:I,5,FALSE)</f>
        <v>Price per Desktop PC</v>
      </c>
      <c r="G16" s="33" t="s">
        <v>265</v>
      </c>
      <c r="H16" s="25">
        <f>VALUE(LEFT(VLOOKUP(C16,'CIO Resource Import'!A:B,2,FALSE),LEN(VLOOKUP(C16,'CIO Resource Import'!A:B,2,FALSE))-LEN(G16)))</f>
        <v>322.08</v>
      </c>
      <c r="I16" s="25">
        <f>VALUE(LEFT(VLOOKUP(C16,'CIO Resource Import'!A:J,6,FALSE),LEN(VLOOKUP(C16,'CIO Resource Import'!A:J,6,FALSE))-LEN(G16)))</f>
        <v>322.08</v>
      </c>
      <c r="J16" s="255"/>
      <c r="K16" s="255"/>
      <c r="L16" s="25">
        <f t="shared" si="0"/>
        <v>322.08</v>
      </c>
      <c r="M16" s="151">
        <f t="shared" si="1"/>
        <v>0</v>
      </c>
      <c r="N16" s="25">
        <v>97.69</v>
      </c>
      <c r="O16" s="25">
        <v>174.46</v>
      </c>
      <c r="P16" s="25">
        <v>173.14</v>
      </c>
      <c r="Q16" s="25">
        <v>243.33</v>
      </c>
      <c r="R16" s="25">
        <v>241.52</v>
      </c>
      <c r="S16" s="25">
        <v>442.8</v>
      </c>
      <c r="T16" s="25">
        <v>439.88</v>
      </c>
      <c r="U16" s="25">
        <v>439.88</v>
      </c>
      <c r="V16" s="25">
        <v>436.5</v>
      </c>
      <c r="W16" s="25">
        <v>436.5</v>
      </c>
      <c r="X16" s="25">
        <v>432.83</v>
      </c>
      <c r="Y16" s="25">
        <v>432.83</v>
      </c>
      <c r="Z16" s="25">
        <v>428.89</v>
      </c>
      <c r="AA16" s="25">
        <v>428.89</v>
      </c>
      <c r="AB16" s="25">
        <v>325.5</v>
      </c>
      <c r="AC16" s="25">
        <v>325.5</v>
      </c>
    </row>
    <row r="17" spans="1:29" s="24" customFormat="1" x14ac:dyDescent="0.25">
      <c r="A17" s="320"/>
      <c r="B17" s="320"/>
      <c r="C17" s="24" t="s">
        <v>206</v>
      </c>
      <c r="D17" s="24">
        <v>2500</v>
      </c>
      <c r="E17" s="32" t="s">
        <v>183</v>
      </c>
      <c r="F17" s="24" t="str">
        <f>VLOOKUP(C17,'CIO Resource Import'!A:I,5,FALSE)</f>
        <v>Price per Desktop PC</v>
      </c>
      <c r="G17" s="32" t="s">
        <v>265</v>
      </c>
      <c r="H17" s="24">
        <f>VALUE(LEFT(VLOOKUP(C17,'CIO Resource Import'!A:B,2,FALSE),LEN(VLOOKUP(C17,'CIO Resource Import'!A:B,2,FALSE))-LEN(G17)))</f>
        <v>259.39</v>
      </c>
      <c r="I17" s="24">
        <f>VALUE(LEFT(VLOOKUP(C17,'CIO Resource Import'!A:J,6,FALSE),LEN(VLOOKUP(C17,'CIO Resource Import'!A:J,6,FALSE))-LEN(G17)))</f>
        <v>259.39</v>
      </c>
      <c r="J17" s="254"/>
      <c r="K17" s="255"/>
      <c r="L17" s="24">
        <f t="shared" si="0"/>
        <v>259.39</v>
      </c>
      <c r="M17" s="174">
        <f t="shared" si="1"/>
        <v>0</v>
      </c>
      <c r="N17" s="24">
        <v>131.38999999999999</v>
      </c>
      <c r="O17" s="24">
        <v>202.32</v>
      </c>
      <c r="P17" s="24">
        <v>200.5</v>
      </c>
      <c r="Q17" s="24">
        <v>203.97</v>
      </c>
      <c r="R17" s="24">
        <v>201.95</v>
      </c>
      <c r="S17" s="24">
        <v>353.59000000000003</v>
      </c>
      <c r="T17" s="24">
        <v>350.77</v>
      </c>
      <c r="U17" s="24">
        <v>350.77</v>
      </c>
      <c r="V17" s="24">
        <v>347.6</v>
      </c>
      <c r="W17" s="24">
        <v>347.6</v>
      </c>
      <c r="X17" s="24">
        <v>344.21</v>
      </c>
      <c r="Y17" s="24">
        <v>344.21</v>
      </c>
      <c r="Z17" s="24">
        <v>340.61</v>
      </c>
      <c r="AA17" s="24">
        <v>340.61</v>
      </c>
      <c r="AB17" s="24">
        <v>262.51</v>
      </c>
      <c r="AC17" s="24">
        <v>262.51</v>
      </c>
    </row>
    <row r="18" spans="1:29" s="25" customFormat="1" x14ac:dyDescent="0.25">
      <c r="A18" s="320"/>
      <c r="B18" s="320"/>
      <c r="C18" s="25" t="s">
        <v>207</v>
      </c>
      <c r="D18" s="25">
        <v>2500</v>
      </c>
      <c r="E18" s="33" t="s">
        <v>183</v>
      </c>
      <c r="F18" s="25" t="str">
        <f>VLOOKUP(C18,'CIO Resource Import'!A:I,5,FALSE)</f>
        <v>Price per Desktop PC</v>
      </c>
      <c r="G18" s="33" t="s">
        <v>265</v>
      </c>
      <c r="H18" s="25">
        <f>VALUE(LEFT(VLOOKUP(C18,'CIO Resource Import'!A:B,2,FALSE),LEN(VLOOKUP(C18,'CIO Resource Import'!A:B,2,FALSE))-LEN(G18)))</f>
        <v>467.91</v>
      </c>
      <c r="I18" s="25">
        <f>VALUE(LEFT(VLOOKUP(C18,'CIO Resource Import'!A:J,6,FALSE),LEN(VLOOKUP(C18,'CIO Resource Import'!A:J,6,FALSE))-LEN(G18)))</f>
        <v>467.91</v>
      </c>
      <c r="J18" s="255"/>
      <c r="K18" s="255"/>
      <c r="L18" s="25">
        <f t="shared" si="0"/>
        <v>467.91</v>
      </c>
      <c r="M18" s="151">
        <f t="shared" si="1"/>
        <v>0</v>
      </c>
      <c r="N18" s="25">
        <v>134.27000000000001</v>
      </c>
      <c r="O18" s="25">
        <v>212.23</v>
      </c>
      <c r="P18" s="25">
        <v>210.73</v>
      </c>
      <c r="Q18" s="25">
        <v>227.93</v>
      </c>
      <c r="R18" s="25">
        <v>226.15</v>
      </c>
      <c r="S18" s="25">
        <v>327.5</v>
      </c>
      <c r="T18" s="25">
        <v>325.10000000000002</v>
      </c>
      <c r="U18" s="25">
        <v>454.49</v>
      </c>
      <c r="V18" s="25">
        <v>451.23</v>
      </c>
      <c r="W18" s="25">
        <v>451.23</v>
      </c>
      <c r="X18" s="25">
        <v>447.56</v>
      </c>
      <c r="Y18" s="25">
        <v>458.9</v>
      </c>
      <c r="Z18" s="25">
        <v>454.89</v>
      </c>
      <c r="AA18" s="25">
        <v>475.84</v>
      </c>
      <c r="AB18" s="25">
        <v>471.44</v>
      </c>
      <c r="AC18" s="25">
        <v>472.63</v>
      </c>
    </row>
    <row r="19" spans="1:29" s="24" customFormat="1" x14ac:dyDescent="0.25">
      <c r="A19" s="320"/>
      <c r="B19" s="320"/>
      <c r="C19" s="24" t="s">
        <v>208</v>
      </c>
      <c r="D19" s="24">
        <v>2500</v>
      </c>
      <c r="E19" s="32" t="s">
        <v>183</v>
      </c>
      <c r="F19" s="24" t="str">
        <f>VLOOKUP(C19,'CIO Resource Import'!A:I,5,FALSE)</f>
        <v>Price per Desktop PC</v>
      </c>
      <c r="G19" s="32" t="s">
        <v>265</v>
      </c>
      <c r="H19" s="24">
        <f>VALUE(LEFT(VLOOKUP(C19,'CIO Resource Import'!A:B,2,FALSE),LEN(VLOOKUP(C19,'CIO Resource Import'!A:B,2,FALSE))-LEN(G19)))</f>
        <v>1463.18</v>
      </c>
      <c r="I19" s="24">
        <f>VALUE(LEFT(VLOOKUP(C19,'CIO Resource Import'!A:J,6,FALSE),LEN(VLOOKUP(C19,'CIO Resource Import'!A:J,6,FALSE))-LEN(G19)))</f>
        <v>1463.18</v>
      </c>
      <c r="J19" s="254"/>
      <c r="K19" s="255"/>
      <c r="L19" s="24">
        <f t="shared" si="0"/>
        <v>1463.18</v>
      </c>
      <c r="M19" s="174">
        <f t="shared" si="1"/>
        <v>0</v>
      </c>
      <c r="N19" s="24">
        <v>161.52000000000001</v>
      </c>
      <c r="O19" s="24">
        <v>163.35</v>
      </c>
      <c r="P19" s="24">
        <v>161.72999999999999</v>
      </c>
      <c r="Q19" s="24">
        <v>230.26</v>
      </c>
      <c r="R19" s="24">
        <v>228.23</v>
      </c>
      <c r="S19" s="24">
        <v>449.78</v>
      </c>
      <c r="T19" s="24">
        <v>446.56</v>
      </c>
      <c r="U19" s="24">
        <v>501.1</v>
      </c>
      <c r="V19" s="24">
        <v>497.16</v>
      </c>
      <c r="W19" s="24">
        <v>697.76</v>
      </c>
      <c r="X19" s="24">
        <v>692.56</v>
      </c>
      <c r="Y19" s="24">
        <v>1191.79</v>
      </c>
      <c r="Z19" s="24">
        <v>1183.74</v>
      </c>
      <c r="AA19" s="24">
        <v>1384.11</v>
      </c>
      <c r="AB19" s="24">
        <v>1373.98</v>
      </c>
      <c r="AC19" s="24">
        <v>1474.83</v>
      </c>
    </row>
    <row r="20" spans="1:29" s="25" customFormat="1" x14ac:dyDescent="0.25">
      <c r="A20" s="320"/>
      <c r="B20" s="320"/>
      <c r="C20" s="25" t="s">
        <v>209</v>
      </c>
      <c r="D20" s="25">
        <v>2500</v>
      </c>
      <c r="E20" s="33" t="s">
        <v>183</v>
      </c>
      <c r="F20" s="25" t="str">
        <f>VLOOKUP(C20,'CIO Resource Import'!A:I,5,FALSE)</f>
        <v>Price per Desktop PC</v>
      </c>
      <c r="G20" s="33" t="s">
        <v>265</v>
      </c>
      <c r="H20" s="25">
        <f>VALUE(LEFT(VLOOKUP(C20,'CIO Resource Import'!A:B,2,FALSE),LEN(VLOOKUP(C20,'CIO Resource Import'!A:B,2,FALSE))-LEN(G20)))</f>
        <v>1243.58</v>
      </c>
      <c r="I20" s="25">
        <f>VALUE(LEFT(VLOOKUP(C20,'CIO Resource Import'!A:J,6,FALSE),LEN(VLOOKUP(C20,'CIO Resource Import'!A:J,6,FALSE))-LEN(G20)))</f>
        <v>1243.58</v>
      </c>
      <c r="J20" s="255"/>
      <c r="K20" s="255"/>
      <c r="L20" s="25">
        <f t="shared" si="0"/>
        <v>1243.58</v>
      </c>
      <c r="M20" s="151">
        <f t="shared" si="1"/>
        <v>0</v>
      </c>
      <c r="N20" s="25">
        <v>131.38999999999999</v>
      </c>
      <c r="O20" s="25">
        <v>281.76</v>
      </c>
      <c r="P20" s="25">
        <v>279.58</v>
      </c>
      <c r="Q20" s="25">
        <v>282.83</v>
      </c>
      <c r="R20" s="25">
        <v>280.33999999999997</v>
      </c>
      <c r="S20" s="25">
        <v>311.61</v>
      </c>
      <c r="T20" s="25">
        <v>308.8</v>
      </c>
      <c r="U20" s="25">
        <v>355.17</v>
      </c>
      <c r="V20" s="25">
        <v>351.93</v>
      </c>
      <c r="W20" s="25">
        <v>492.29</v>
      </c>
      <c r="X20" s="25">
        <v>488.17</v>
      </c>
      <c r="Y20" s="25">
        <v>967.42</v>
      </c>
      <c r="Z20" s="25">
        <v>960.73</v>
      </c>
      <c r="AA20" s="25">
        <v>1161.0700000000002</v>
      </c>
      <c r="AB20" s="25">
        <v>1152.46</v>
      </c>
      <c r="AC20" s="25">
        <v>1253.56</v>
      </c>
    </row>
    <row r="21" spans="1:29" s="24" customFormat="1" x14ac:dyDescent="0.25">
      <c r="A21" s="320"/>
      <c r="B21" s="320"/>
      <c r="C21" s="24" t="s">
        <v>210</v>
      </c>
      <c r="D21" s="24">
        <v>2500</v>
      </c>
      <c r="E21" s="32" t="s">
        <v>183</v>
      </c>
      <c r="F21" s="24" t="str">
        <f>VLOOKUP(C21,'CIO Resource Import'!A:I,5,FALSE)</f>
        <v>Price per Desktop PC</v>
      </c>
      <c r="G21" s="32" t="s">
        <v>265</v>
      </c>
      <c r="H21" s="24">
        <f>VALUE(LEFT(VLOOKUP(C21,'CIO Resource Import'!A:B,2,FALSE),LEN(VLOOKUP(C21,'CIO Resource Import'!A:B,2,FALSE))-LEN(G21)))</f>
        <v>271.26</v>
      </c>
      <c r="I21" s="24">
        <f>VALUE(LEFT(VLOOKUP(C21,'CIO Resource Import'!A:J,6,FALSE),LEN(VLOOKUP(C21,'CIO Resource Import'!A:J,6,FALSE))-LEN(G21)))</f>
        <v>271.26</v>
      </c>
      <c r="J21" s="254"/>
      <c r="K21" s="254"/>
      <c r="L21" s="24">
        <f t="shared" si="0"/>
        <v>271.26</v>
      </c>
      <c r="M21" s="174">
        <f t="shared" si="1"/>
        <v>0</v>
      </c>
      <c r="N21" s="24">
        <v>112.34</v>
      </c>
      <c r="O21" s="24">
        <v>184.62</v>
      </c>
      <c r="P21" s="24">
        <v>183.18</v>
      </c>
      <c r="Q21" s="24">
        <v>185.38</v>
      </c>
      <c r="R21" s="24">
        <v>183.74</v>
      </c>
      <c r="S21" s="24">
        <v>183.74</v>
      </c>
      <c r="T21" s="24">
        <v>181.99</v>
      </c>
      <c r="U21" s="24">
        <v>181.99</v>
      </c>
      <c r="V21" s="24">
        <v>180.12</v>
      </c>
      <c r="W21" s="24">
        <v>200.72</v>
      </c>
      <c r="X21" s="24">
        <v>198.66</v>
      </c>
      <c r="Y21" s="24">
        <v>258.89999999999998</v>
      </c>
      <c r="Z21" s="24">
        <v>256.43</v>
      </c>
      <c r="AA21" s="24">
        <v>276.99</v>
      </c>
      <c r="AB21" s="24">
        <v>274.22000000000003</v>
      </c>
      <c r="AC21" s="24">
        <v>274.22000000000003</v>
      </c>
    </row>
    <row r="22" spans="1:29" s="25" customFormat="1" x14ac:dyDescent="0.25">
      <c r="A22" s="320"/>
      <c r="B22" s="320"/>
      <c r="C22" s="25" t="s">
        <v>211</v>
      </c>
      <c r="D22" s="25">
        <v>300</v>
      </c>
      <c r="E22" s="33" t="s">
        <v>183</v>
      </c>
      <c r="F22" s="25" t="str">
        <f>VLOOKUP(C22,'CIO Resource Import'!A:I,5,FALSE)</f>
        <v>Price per Office Automation License</v>
      </c>
      <c r="G22" s="33" t="s">
        <v>264</v>
      </c>
      <c r="H22" s="25">
        <f>VALUE(LEFT(VLOOKUP(C22,'CIO Resource Import'!A:B,2,FALSE),LEN(VLOOKUP(C22,'CIO Resource Import'!A:B,2,FALSE))-LEN(G22)))</f>
        <v>2378.25</v>
      </c>
      <c r="I22" s="25">
        <f>VALUE(LEFT(VLOOKUP(C22,'CIO Resource Import'!A:J,6,FALSE),LEN(VLOOKUP(C22,'CIO Resource Import'!A:J,6,FALSE))-LEN(G22)))</f>
        <v>2378.25</v>
      </c>
      <c r="J22" s="255"/>
      <c r="K22" s="255"/>
      <c r="L22" s="25">
        <f t="shared" si="0"/>
        <v>2378.25</v>
      </c>
      <c r="M22" s="151">
        <f t="shared" si="1"/>
        <v>0</v>
      </c>
      <c r="N22" s="25">
        <v>250</v>
      </c>
      <c r="O22" s="25">
        <v>444.7</v>
      </c>
      <c r="P22" s="25">
        <v>444.7</v>
      </c>
      <c r="Q22" s="25">
        <v>457</v>
      </c>
      <c r="R22" s="25">
        <v>457</v>
      </c>
      <c r="S22" s="25">
        <v>701.35</v>
      </c>
      <c r="T22" s="25">
        <v>701.35</v>
      </c>
      <c r="U22" s="25">
        <v>720.55000000000007</v>
      </c>
      <c r="V22" s="25">
        <v>720.55</v>
      </c>
      <c r="W22" s="25">
        <v>720.55</v>
      </c>
      <c r="X22" s="25">
        <v>720.55</v>
      </c>
      <c r="Y22" s="25">
        <v>757.55</v>
      </c>
      <c r="Z22" s="25">
        <v>757.55</v>
      </c>
      <c r="AA22" s="25">
        <v>2378.25</v>
      </c>
      <c r="AB22" s="25">
        <v>2378.25</v>
      </c>
      <c r="AC22" s="25">
        <v>2378.25</v>
      </c>
    </row>
    <row r="23" spans="1:29" s="24" customFormat="1" x14ac:dyDescent="0.25">
      <c r="A23" s="320"/>
      <c r="B23" s="320"/>
      <c r="C23" s="24" t="s">
        <v>212</v>
      </c>
      <c r="D23" s="24">
        <v>300</v>
      </c>
      <c r="E23" s="32" t="s">
        <v>183</v>
      </c>
      <c r="F23" s="24" t="str">
        <f>VLOOKUP(C23,'CIO Resource Import'!A:I,5,FALSE)</f>
        <v>Price per Office Automation License</v>
      </c>
      <c r="G23" s="32" t="s">
        <v>264</v>
      </c>
      <c r="H23" s="24">
        <f>VALUE(LEFT(VLOOKUP(C23,'CIO Resource Import'!A:B,2,FALSE),LEN(VLOOKUP(C23,'CIO Resource Import'!A:B,2,FALSE))-LEN(G23)))</f>
        <v>2123</v>
      </c>
      <c r="I23" s="24">
        <f>VALUE(LEFT(VLOOKUP(C23,'CIO Resource Import'!A:J,6,FALSE),LEN(VLOOKUP(C23,'CIO Resource Import'!A:J,6,FALSE))-LEN(G23)))</f>
        <v>2123</v>
      </c>
      <c r="J23" s="254"/>
      <c r="K23" s="255"/>
      <c r="L23" s="24">
        <f t="shared" si="0"/>
        <v>2123</v>
      </c>
      <c r="M23" s="174">
        <f t="shared" si="1"/>
        <v>0</v>
      </c>
      <c r="N23" s="24">
        <v>375</v>
      </c>
      <c r="O23" s="24">
        <v>375</v>
      </c>
      <c r="P23" s="24">
        <v>375</v>
      </c>
      <c r="Q23" s="24">
        <v>375</v>
      </c>
      <c r="R23" s="24">
        <v>375</v>
      </c>
      <c r="S23" s="24">
        <v>556.20000000000005</v>
      </c>
      <c r="T23" s="24">
        <v>556.20000000000005</v>
      </c>
      <c r="U23" s="24">
        <v>589.9</v>
      </c>
      <c r="V23" s="24">
        <v>589.9</v>
      </c>
      <c r="W23" s="24">
        <v>589.9</v>
      </c>
      <c r="X23" s="24">
        <v>589.9</v>
      </c>
      <c r="Y23" s="24">
        <v>688.65000000000009</v>
      </c>
      <c r="Z23" s="24">
        <v>688.65</v>
      </c>
      <c r="AA23" s="24">
        <v>2123</v>
      </c>
      <c r="AB23" s="24">
        <v>2123</v>
      </c>
      <c r="AC23" s="24">
        <v>2123</v>
      </c>
    </row>
    <row r="24" spans="1:29" s="25" customFormat="1" x14ac:dyDescent="0.25">
      <c r="A24" s="320"/>
      <c r="B24" s="320"/>
      <c r="C24" s="25" t="s">
        <v>213</v>
      </c>
      <c r="D24" s="25">
        <v>300</v>
      </c>
      <c r="E24" s="33" t="s">
        <v>183</v>
      </c>
      <c r="F24" s="25" t="str">
        <f>VLOOKUP(C24,'CIO Resource Import'!A:I,5,FALSE)</f>
        <v>Price per Office Automation License</v>
      </c>
      <c r="G24" s="33" t="s">
        <v>264</v>
      </c>
      <c r="H24" s="25">
        <f>VALUE(LEFT(VLOOKUP(C24,'CIO Resource Import'!A:B,2,FALSE),LEN(VLOOKUP(C24,'CIO Resource Import'!A:B,2,FALSE))-LEN(G24)))</f>
        <v>1019.75</v>
      </c>
      <c r="I24" s="25">
        <f>VALUE(LEFT(VLOOKUP(C24,'CIO Resource Import'!A:J,6,FALSE),LEN(VLOOKUP(C24,'CIO Resource Import'!A:J,6,FALSE))-LEN(G24)))</f>
        <v>1019.75</v>
      </c>
      <c r="J24" s="255"/>
      <c r="K24" s="255"/>
      <c r="L24" s="25">
        <f t="shared" si="0"/>
        <v>1019.75</v>
      </c>
      <c r="M24" s="151">
        <f t="shared" si="1"/>
        <v>0</v>
      </c>
      <c r="N24" s="25">
        <v>1000</v>
      </c>
      <c r="O24" s="25">
        <v>1000</v>
      </c>
      <c r="P24" s="25">
        <v>1000</v>
      </c>
      <c r="Q24" s="25">
        <v>1000</v>
      </c>
      <c r="R24" s="25">
        <v>1000</v>
      </c>
      <c r="S24" s="25">
        <v>1000</v>
      </c>
      <c r="T24" s="25">
        <v>1000</v>
      </c>
      <c r="U24" s="25">
        <v>1119.75</v>
      </c>
      <c r="V24" s="25">
        <v>1119.75</v>
      </c>
      <c r="W24" s="25">
        <v>1119.75</v>
      </c>
      <c r="X24" s="25">
        <v>1119.75</v>
      </c>
      <c r="Y24" s="25">
        <v>1119.75</v>
      </c>
      <c r="Z24" s="25">
        <v>1119.75</v>
      </c>
      <c r="AA24" s="25">
        <v>1119.75</v>
      </c>
      <c r="AB24" s="25">
        <v>1019.75</v>
      </c>
      <c r="AC24" s="25">
        <v>1019.75</v>
      </c>
    </row>
    <row r="25" spans="1:29" s="24" customFormat="1" x14ac:dyDescent="0.25">
      <c r="A25" s="320"/>
      <c r="B25" s="320"/>
      <c r="C25" s="24" t="s">
        <v>214</v>
      </c>
      <c r="D25" s="24">
        <v>300</v>
      </c>
      <c r="E25" s="32" t="s">
        <v>183</v>
      </c>
      <c r="F25" s="24" t="str">
        <f>VLOOKUP(C25,'CIO Resource Import'!A:I,5,FALSE)</f>
        <v>Price per Office Automation License</v>
      </c>
      <c r="G25" s="32" t="s">
        <v>264</v>
      </c>
      <c r="H25" s="24">
        <f>VALUE(LEFT(VLOOKUP(C25,'CIO Resource Import'!A:B,2,FALSE),LEN(VLOOKUP(C25,'CIO Resource Import'!A:B,2,FALSE))-LEN(G25)))</f>
        <v>473.4</v>
      </c>
      <c r="I25" s="24">
        <f>VALUE(LEFT(VLOOKUP(C25,'CIO Resource Import'!A:J,6,FALSE),LEN(VLOOKUP(C25,'CIO Resource Import'!A:J,6,FALSE))-LEN(G25)))</f>
        <v>473.4</v>
      </c>
      <c r="J25" s="254"/>
      <c r="K25" s="254"/>
      <c r="L25" s="24">
        <f t="shared" si="0"/>
        <v>473.4</v>
      </c>
      <c r="M25" s="174">
        <f t="shared" si="1"/>
        <v>0</v>
      </c>
      <c r="N25" s="24">
        <v>125</v>
      </c>
      <c r="O25" s="24">
        <v>172.60000000000002</v>
      </c>
      <c r="P25" s="24">
        <v>172.6</v>
      </c>
      <c r="Q25" s="24">
        <v>177.6</v>
      </c>
      <c r="R25" s="24">
        <v>177.6</v>
      </c>
      <c r="S25" s="24">
        <v>177.6</v>
      </c>
      <c r="T25" s="24">
        <v>177.6</v>
      </c>
      <c r="U25" s="24">
        <v>473.40000000000009</v>
      </c>
      <c r="V25" s="24">
        <v>473.4</v>
      </c>
      <c r="W25" s="24">
        <v>473.4</v>
      </c>
      <c r="X25" s="24">
        <v>473.4</v>
      </c>
      <c r="Y25" s="24">
        <v>473.4</v>
      </c>
      <c r="Z25" s="24">
        <v>473.4</v>
      </c>
      <c r="AA25" s="24">
        <v>473.4</v>
      </c>
      <c r="AB25" s="24">
        <v>473.4</v>
      </c>
      <c r="AC25" s="24">
        <v>473.4</v>
      </c>
    </row>
    <row r="26" spans="1:29" s="25" customFormat="1" x14ac:dyDescent="0.25">
      <c r="A26" s="320"/>
      <c r="B26" s="320"/>
      <c r="C26" s="25" t="s">
        <v>215</v>
      </c>
      <c r="D26" s="25">
        <v>300</v>
      </c>
      <c r="E26" s="33" t="s">
        <v>183</v>
      </c>
      <c r="F26" s="25" t="str">
        <f>VLOOKUP(C26,'CIO Resource Import'!A:I,5,FALSE)</f>
        <v>Price per Office Automation License</v>
      </c>
      <c r="G26" s="33" t="s">
        <v>264</v>
      </c>
      <c r="H26" s="25">
        <f>VALUE(LEFT(VLOOKUP(C26,'CIO Resource Import'!A:B,2,FALSE),LEN(VLOOKUP(C26,'CIO Resource Import'!A:B,2,FALSE))-LEN(G26)))</f>
        <v>1706</v>
      </c>
      <c r="I26" s="25">
        <f>VALUE(LEFT(VLOOKUP(C26,'CIO Resource Import'!A:J,6,FALSE),LEN(VLOOKUP(C26,'CIO Resource Import'!A:J,6,FALSE))-LEN(G26)))</f>
        <v>1706</v>
      </c>
      <c r="J26" s="255"/>
      <c r="K26" s="255"/>
      <c r="L26" s="25">
        <f t="shared" si="0"/>
        <v>1706</v>
      </c>
      <c r="M26" s="151">
        <f t="shared" si="1"/>
        <v>0</v>
      </c>
      <c r="N26" s="25">
        <v>500</v>
      </c>
      <c r="O26" s="25">
        <v>872.30000000000007</v>
      </c>
      <c r="P26" s="25">
        <v>872.3</v>
      </c>
      <c r="Q26" s="25">
        <v>1216.6500000000001</v>
      </c>
      <c r="R26" s="25">
        <v>1216.6500000000001</v>
      </c>
      <c r="S26" s="25">
        <v>2206</v>
      </c>
      <c r="T26" s="25">
        <v>2206</v>
      </c>
      <c r="U26" s="25">
        <v>2206</v>
      </c>
      <c r="V26" s="25">
        <v>2206</v>
      </c>
      <c r="W26" s="25">
        <v>2206</v>
      </c>
      <c r="X26" s="25">
        <v>2206</v>
      </c>
      <c r="Y26" s="25">
        <v>2206</v>
      </c>
      <c r="Z26" s="25">
        <v>2206</v>
      </c>
      <c r="AA26" s="25">
        <v>2206</v>
      </c>
      <c r="AB26" s="25">
        <v>1706</v>
      </c>
      <c r="AC26" s="25">
        <v>1706</v>
      </c>
    </row>
    <row r="27" spans="1:29" s="24" customFormat="1" x14ac:dyDescent="0.25">
      <c r="A27" s="320"/>
      <c r="B27" s="320"/>
      <c r="C27" s="24" t="s">
        <v>216</v>
      </c>
      <c r="D27" s="24">
        <v>300</v>
      </c>
      <c r="E27" s="32" t="s">
        <v>183</v>
      </c>
      <c r="F27" s="24" t="str">
        <f>VLOOKUP(C27,'CIO Resource Import'!A:I,5,FALSE)</f>
        <v>Price per Office Automation License</v>
      </c>
      <c r="G27" s="32" t="s">
        <v>264</v>
      </c>
      <c r="H27" s="24">
        <f>VALUE(LEFT(VLOOKUP(C27,'CIO Resource Import'!A:B,2,FALSE),LEN(VLOOKUP(C27,'CIO Resource Import'!A:B,2,FALSE))-LEN(G27)))</f>
        <v>1384.95</v>
      </c>
      <c r="I27" s="24">
        <f>VALUE(LEFT(VLOOKUP(C27,'CIO Resource Import'!A:J,6,FALSE),LEN(VLOOKUP(C27,'CIO Resource Import'!A:J,6,FALSE))-LEN(G27)))</f>
        <v>1384.95</v>
      </c>
      <c r="J27" s="254"/>
      <c r="K27" s="255"/>
      <c r="L27" s="24">
        <f t="shared" si="0"/>
        <v>1384.95</v>
      </c>
      <c r="M27" s="174">
        <f t="shared" si="1"/>
        <v>0</v>
      </c>
      <c r="N27" s="24">
        <v>675</v>
      </c>
      <c r="O27" s="24">
        <v>1011.5999999999999</v>
      </c>
      <c r="P27" s="24">
        <v>1011.6</v>
      </c>
      <c r="Q27" s="24">
        <v>1019.85</v>
      </c>
      <c r="R27" s="24">
        <v>1019.85</v>
      </c>
      <c r="S27" s="24">
        <v>1759.9500000000003</v>
      </c>
      <c r="T27" s="24">
        <v>1759.95</v>
      </c>
      <c r="U27" s="24">
        <v>1759.95</v>
      </c>
      <c r="V27" s="24">
        <v>1759.95</v>
      </c>
      <c r="W27" s="24">
        <v>1759.95</v>
      </c>
      <c r="X27" s="24">
        <v>1759.95</v>
      </c>
      <c r="Y27" s="24">
        <v>1759.95</v>
      </c>
      <c r="Z27" s="24">
        <v>1759.95</v>
      </c>
      <c r="AA27" s="24">
        <v>1759.95</v>
      </c>
      <c r="AB27" s="24">
        <v>1384.95</v>
      </c>
      <c r="AC27" s="24">
        <v>1384.95</v>
      </c>
    </row>
    <row r="28" spans="1:29" s="25" customFormat="1" x14ac:dyDescent="0.25">
      <c r="A28" s="320"/>
      <c r="B28" s="320"/>
      <c r="C28" s="25" t="s">
        <v>217</v>
      </c>
      <c r="D28" s="25">
        <v>300</v>
      </c>
      <c r="E28" s="33" t="s">
        <v>183</v>
      </c>
      <c r="F28" s="25" t="str">
        <f>VLOOKUP(C28,'CIO Resource Import'!A:I,5,FALSE)</f>
        <v>Price per Office Automation License</v>
      </c>
      <c r="G28" s="33" t="s">
        <v>264</v>
      </c>
      <c r="H28" s="25">
        <f>VALUE(LEFT(VLOOKUP(C28,'CIO Resource Import'!A:B,2,FALSE),LEN(VLOOKUP(C28,'CIO Resource Import'!A:B,2,FALSE))-LEN(G28)))</f>
        <v>2379.1999999999998</v>
      </c>
      <c r="I28" s="25">
        <f>VALUE(LEFT(VLOOKUP(C28,'CIO Resource Import'!A:J,6,FALSE),LEN(VLOOKUP(C28,'CIO Resource Import'!A:J,6,FALSE))-LEN(G28)))</f>
        <v>2379.1999999999998</v>
      </c>
      <c r="J28" s="255"/>
      <c r="K28" s="255"/>
      <c r="L28" s="25">
        <f t="shared" si="0"/>
        <v>2379.1999999999998</v>
      </c>
      <c r="M28" s="151">
        <f t="shared" si="1"/>
        <v>0</v>
      </c>
      <c r="N28" s="25">
        <v>690</v>
      </c>
      <c r="O28" s="25">
        <v>1061.1499999999999</v>
      </c>
      <c r="P28" s="25">
        <v>1061.1500000000001</v>
      </c>
      <c r="Q28" s="25">
        <v>1139.6500000000001</v>
      </c>
      <c r="R28" s="25">
        <v>1139.6500000000001</v>
      </c>
      <c r="S28" s="25">
        <v>1629.5</v>
      </c>
      <c r="T28" s="25">
        <v>1629.5</v>
      </c>
      <c r="U28" s="25">
        <v>2272.4499999999998</v>
      </c>
      <c r="V28" s="25">
        <v>2272.4499999999998</v>
      </c>
      <c r="W28" s="25">
        <v>2272.4499999999998</v>
      </c>
      <c r="X28" s="25">
        <v>2272.4499999999998</v>
      </c>
      <c r="Y28" s="25">
        <v>2294.5</v>
      </c>
      <c r="Z28" s="25">
        <v>2294.5</v>
      </c>
      <c r="AA28" s="25">
        <v>2379.1999999999998</v>
      </c>
      <c r="AB28" s="25">
        <v>2379.1999999999998</v>
      </c>
      <c r="AC28" s="25">
        <v>2379.1999999999998</v>
      </c>
    </row>
    <row r="29" spans="1:29" s="24" customFormat="1" x14ac:dyDescent="0.25">
      <c r="A29" s="320"/>
      <c r="B29" s="320"/>
      <c r="C29" s="24" t="s">
        <v>218</v>
      </c>
      <c r="D29" s="24">
        <v>300</v>
      </c>
      <c r="E29" s="32" t="s">
        <v>183</v>
      </c>
      <c r="F29" s="24" t="str">
        <f>VLOOKUP(C29,'CIO Resource Import'!A:I,5,FALSE)</f>
        <v>Price per Office Automation License</v>
      </c>
      <c r="G29" s="32" t="s">
        <v>264</v>
      </c>
      <c r="H29" s="24">
        <f>VALUE(LEFT(VLOOKUP(C29,'CIO Resource Import'!A:B,2,FALSE),LEN(VLOOKUP(C29,'CIO Resource Import'!A:B,2,FALSE))-LEN(G29)))</f>
        <v>7374.15</v>
      </c>
      <c r="I29" s="24">
        <f>VALUE(LEFT(VLOOKUP(C29,'CIO Resource Import'!A:J,6,FALSE),LEN(VLOOKUP(C29,'CIO Resource Import'!A:J,6,FALSE))-LEN(G29)))</f>
        <v>7374.15</v>
      </c>
      <c r="J29" s="254"/>
      <c r="K29" s="255"/>
      <c r="L29" s="24">
        <f t="shared" si="0"/>
        <v>7374.15</v>
      </c>
      <c r="M29" s="174">
        <f t="shared" si="1"/>
        <v>0</v>
      </c>
      <c r="N29" s="24">
        <v>780</v>
      </c>
      <c r="O29" s="24">
        <v>816.75</v>
      </c>
      <c r="P29" s="24">
        <v>816.75</v>
      </c>
      <c r="Q29" s="24">
        <v>1151.3</v>
      </c>
      <c r="R29" s="24">
        <v>1151.3</v>
      </c>
      <c r="S29" s="24">
        <v>2240.8999999999996</v>
      </c>
      <c r="T29" s="24">
        <v>2240.9</v>
      </c>
      <c r="U29" s="24">
        <v>2505.5</v>
      </c>
      <c r="V29" s="24">
        <v>2505.5</v>
      </c>
      <c r="W29" s="24">
        <v>3488.8</v>
      </c>
      <c r="X29" s="24">
        <v>3488.8</v>
      </c>
      <c r="Y29" s="24">
        <v>5958.95</v>
      </c>
      <c r="Z29" s="24">
        <v>5958.95</v>
      </c>
      <c r="AA29" s="24">
        <v>6920.5499999999993</v>
      </c>
      <c r="AB29" s="24">
        <v>6920.55</v>
      </c>
      <c r="AC29" s="24">
        <v>7374.15</v>
      </c>
    </row>
    <row r="30" spans="1:29" s="25" customFormat="1" x14ac:dyDescent="0.25">
      <c r="A30" s="320"/>
      <c r="B30" s="320"/>
      <c r="C30" s="25" t="s">
        <v>219</v>
      </c>
      <c r="D30" s="25">
        <v>300</v>
      </c>
      <c r="E30" s="33" t="s">
        <v>183</v>
      </c>
      <c r="F30" s="25" t="str">
        <f>VLOOKUP(C30,'CIO Resource Import'!A:I,5,FALSE)</f>
        <v>Price per Office Automation License</v>
      </c>
      <c r="G30" s="33" t="s">
        <v>264</v>
      </c>
      <c r="H30" s="25">
        <f>VALUE(LEFT(VLOOKUP(C30,'CIO Resource Import'!A:B,2,FALSE),LEN(VLOOKUP(C30,'CIO Resource Import'!A:B,2,FALSE))-LEN(G30)))</f>
        <v>6267.8</v>
      </c>
      <c r="I30" s="25">
        <f>VALUE(LEFT(VLOOKUP(C30,'CIO Resource Import'!A:J,6,FALSE),LEN(VLOOKUP(C30,'CIO Resource Import'!A:J,6,FALSE))-LEN(G30)))</f>
        <v>6267.8</v>
      </c>
      <c r="J30" s="255"/>
      <c r="K30" s="255"/>
      <c r="L30" s="25">
        <f t="shared" si="0"/>
        <v>6267.8</v>
      </c>
      <c r="M30" s="151">
        <f t="shared" si="1"/>
        <v>0</v>
      </c>
      <c r="N30" s="25">
        <v>675</v>
      </c>
      <c r="O30" s="25">
        <v>1408.8</v>
      </c>
      <c r="P30" s="25">
        <v>1408.8</v>
      </c>
      <c r="Q30" s="25">
        <v>1414.1499999999999</v>
      </c>
      <c r="R30" s="25">
        <v>1414.15</v>
      </c>
      <c r="S30" s="25">
        <v>1550.0500000000002</v>
      </c>
      <c r="T30" s="25">
        <v>1550.05</v>
      </c>
      <c r="U30" s="25">
        <v>1775.8500000000001</v>
      </c>
      <c r="V30" s="25">
        <v>1775.85</v>
      </c>
      <c r="W30" s="25">
        <v>2461.4500000000003</v>
      </c>
      <c r="X30" s="25">
        <v>2461.4499999999998</v>
      </c>
      <c r="Y30" s="25">
        <v>4837.0999999999995</v>
      </c>
      <c r="Z30" s="25">
        <v>4837.1000000000004</v>
      </c>
      <c r="AA30" s="25">
        <v>5805.35</v>
      </c>
      <c r="AB30" s="25">
        <v>5805.35</v>
      </c>
      <c r="AC30" s="25">
        <v>6267.7999999999993</v>
      </c>
    </row>
    <row r="31" spans="1:29" s="24" customFormat="1" x14ac:dyDescent="0.25">
      <c r="A31" s="320"/>
      <c r="B31" s="320"/>
      <c r="C31" s="24" t="s">
        <v>220</v>
      </c>
      <c r="D31" s="24">
        <v>300</v>
      </c>
      <c r="E31" s="32" t="s">
        <v>183</v>
      </c>
      <c r="F31" s="24" t="str">
        <f>VLOOKUP(C31,'CIO Resource Import'!A:I,5,FALSE)</f>
        <v>Price per Office Automation License</v>
      </c>
      <c r="G31" s="32" t="s">
        <v>264</v>
      </c>
      <c r="H31" s="24">
        <f>VALUE(LEFT(VLOOKUP(C31,'CIO Resource Import'!A:B,2,FALSE),LEN(VLOOKUP(C31,'CIO Resource Import'!A:B,2,FALSE))-LEN(G31)))</f>
        <v>1384.95</v>
      </c>
      <c r="I31" s="24">
        <f>VALUE(LEFT(VLOOKUP(C31,'CIO Resource Import'!A:J,6,FALSE),LEN(VLOOKUP(C31,'CIO Resource Import'!A:J,6,FALSE))-LEN(G31)))</f>
        <v>1384.95</v>
      </c>
      <c r="J31" s="254"/>
      <c r="K31" s="254"/>
      <c r="L31" s="24">
        <f t="shared" si="0"/>
        <v>1384.95</v>
      </c>
      <c r="M31" s="174">
        <f t="shared" si="1"/>
        <v>0</v>
      </c>
      <c r="N31" s="24">
        <v>575</v>
      </c>
      <c r="O31" s="24">
        <v>923.1</v>
      </c>
      <c r="P31" s="24">
        <v>923.1</v>
      </c>
      <c r="Q31" s="24">
        <v>928.1</v>
      </c>
      <c r="R31" s="24">
        <v>928.1</v>
      </c>
      <c r="S31" s="24">
        <v>928.1</v>
      </c>
      <c r="T31" s="24">
        <v>928.1</v>
      </c>
      <c r="U31" s="24">
        <v>928.1</v>
      </c>
      <c r="V31" s="24">
        <v>928.1</v>
      </c>
      <c r="W31" s="24">
        <v>1003.6</v>
      </c>
      <c r="X31" s="24">
        <v>1003.6</v>
      </c>
      <c r="Y31" s="24">
        <v>1294.5</v>
      </c>
      <c r="Z31" s="24">
        <v>1294.5</v>
      </c>
      <c r="AA31" s="24">
        <v>1384.95</v>
      </c>
      <c r="AB31" s="24">
        <v>1384.95</v>
      </c>
      <c r="AC31" s="24">
        <v>1384.95</v>
      </c>
    </row>
    <row r="32" spans="1:29" s="26" customFormat="1" ht="7.5" customHeight="1" x14ac:dyDescent="0.25">
      <c r="A32" s="34"/>
      <c r="B32" s="34"/>
      <c r="E32" s="35"/>
      <c r="G32" s="35"/>
      <c r="J32" s="256"/>
      <c r="K32" s="256"/>
      <c r="M32" s="158"/>
    </row>
    <row r="33" spans="1:29" s="24" customFormat="1" x14ac:dyDescent="0.25">
      <c r="A33" s="320" t="s">
        <v>57</v>
      </c>
      <c r="B33" s="320" t="s">
        <v>221</v>
      </c>
      <c r="C33" s="24" t="s">
        <v>222</v>
      </c>
      <c r="D33" s="31">
        <v>0.05</v>
      </c>
      <c r="E33" s="32" t="s">
        <v>261</v>
      </c>
      <c r="F33" s="24" t="s">
        <v>223</v>
      </c>
      <c r="G33" s="32" t="s">
        <v>183</v>
      </c>
      <c r="H33" s="24">
        <f>VALUE(LEFT(VLOOKUP(C33,'CFO Resource Import'!A:B,2,FALSE),LEN(VLOOKUP(C33,'CFO Resource Import'!A:B,2,FALSE))-LEN(G33)))</f>
        <v>2500000000</v>
      </c>
      <c r="I33" s="24">
        <f>VALUE(LEFT(VLOOKUP(C33,'CFO Resource Import'!A:J,6,FALSE),LEN(VLOOKUP(C33,'CFO Resource Import'!A:J,6,FALSE))-LEN(G33)))</f>
        <v>2500000000</v>
      </c>
      <c r="J33" s="254"/>
      <c r="K33" s="254"/>
      <c r="L33" s="259">
        <f>H33+J33-K33</f>
        <v>2500000000</v>
      </c>
      <c r="M33" s="176"/>
      <c r="N33" s="24">
        <v>530000000</v>
      </c>
      <c r="O33" s="24">
        <v>0.05</v>
      </c>
      <c r="P33" s="24">
        <v>700000000</v>
      </c>
      <c r="Q33" s="24">
        <v>0.05</v>
      </c>
      <c r="R33" s="24">
        <v>1200000000</v>
      </c>
      <c r="S33" s="24">
        <v>0.05</v>
      </c>
      <c r="T33" s="24">
        <v>2000000000</v>
      </c>
      <c r="U33" s="24">
        <v>0.05</v>
      </c>
      <c r="V33" s="24">
        <v>2800000000</v>
      </c>
      <c r="W33" s="24">
        <v>8500000000</v>
      </c>
      <c r="X33" s="24">
        <v>7750000000</v>
      </c>
      <c r="Y33" s="24">
        <v>7750000000</v>
      </c>
      <c r="Z33" s="24">
        <v>5300000000</v>
      </c>
      <c r="AA33" s="24">
        <v>5300000000</v>
      </c>
      <c r="AB33" s="24">
        <v>3000000000</v>
      </c>
      <c r="AC33" s="24">
        <v>3000000000</v>
      </c>
    </row>
    <row r="34" spans="1:29" s="25" customFormat="1" x14ac:dyDescent="0.25">
      <c r="A34" s="320"/>
      <c r="B34" s="320"/>
      <c r="C34" s="25" t="s">
        <v>224</v>
      </c>
      <c r="D34" s="30">
        <v>0.05</v>
      </c>
      <c r="E34" s="33" t="s">
        <v>261</v>
      </c>
      <c r="F34" s="25" t="s">
        <v>225</v>
      </c>
      <c r="G34" s="33" t="s">
        <v>183</v>
      </c>
      <c r="H34" s="25">
        <f>VALUE(LEFT(VLOOKUP(C34,'CFO Resource Import'!A:B,2,FALSE),LEN(VLOOKUP(C34,'CFO Resource Import'!A:B,2,FALSE))-LEN(G34)))</f>
        <v>0</v>
      </c>
      <c r="I34" s="25">
        <f>VALUE(LEFT(VLOOKUP(C34,'CFO Resource Import'!A:J,6,FALSE),LEN(VLOOKUP(C34,'CFO Resource Import'!A:J,6,FALSE))-LEN(G34)))</f>
        <v>0</v>
      </c>
      <c r="J34" s="255"/>
      <c r="K34" s="255"/>
      <c r="L34" s="260">
        <f t="shared" ref="L34:L38" si="2">H34+J34-K34</f>
        <v>0</v>
      </c>
      <c r="M34" s="177"/>
      <c r="N34" s="25">
        <v>250000000</v>
      </c>
      <c r="O34" s="25">
        <v>0.05</v>
      </c>
      <c r="P34" s="25">
        <v>100000000</v>
      </c>
      <c r="Q34" s="25">
        <v>0.05</v>
      </c>
      <c r="R34" s="25">
        <v>100000000</v>
      </c>
      <c r="S34" s="25">
        <v>0.05</v>
      </c>
      <c r="T34" s="25">
        <v>0</v>
      </c>
      <c r="U34" s="25">
        <v>0.05</v>
      </c>
      <c r="V34" s="25">
        <v>0</v>
      </c>
      <c r="W34" s="25">
        <v>0</v>
      </c>
      <c r="X34" s="25">
        <v>0</v>
      </c>
      <c r="Y34" s="25">
        <v>0</v>
      </c>
      <c r="Z34" s="25">
        <v>0</v>
      </c>
      <c r="AA34" s="25">
        <v>0</v>
      </c>
      <c r="AB34" s="25">
        <v>0</v>
      </c>
      <c r="AC34" s="25">
        <v>0</v>
      </c>
    </row>
    <row r="35" spans="1:29" s="24" customFormat="1" x14ac:dyDescent="0.25">
      <c r="A35" s="320"/>
      <c r="B35" s="320"/>
      <c r="C35" s="24" t="s">
        <v>140</v>
      </c>
      <c r="D35" s="31">
        <v>0.06</v>
      </c>
      <c r="E35" s="32" t="s">
        <v>261</v>
      </c>
      <c r="F35" s="24" t="s">
        <v>226</v>
      </c>
      <c r="G35" s="32" t="s">
        <v>183</v>
      </c>
      <c r="H35" s="24">
        <f>VALUE(LEFT(VLOOKUP(C35,'CFO Resource Import'!A:B,2,FALSE),LEN(VLOOKUP(C35,'CFO Resource Import'!A:B,2,FALSE))-LEN(G35)))</f>
        <v>0</v>
      </c>
      <c r="I35" s="24">
        <f>VALUE(LEFT(VLOOKUP(C35,'CFO Resource Import'!A:J,6,FALSE),LEN(VLOOKUP(C35,'CFO Resource Import'!A:J,6,FALSE))-LEN(G35)))</f>
        <v>0</v>
      </c>
      <c r="J35" s="254"/>
      <c r="K35" s="254"/>
      <c r="L35" s="259">
        <f t="shared" si="2"/>
        <v>0</v>
      </c>
      <c r="M35" s="176"/>
      <c r="N35" s="24">
        <v>360000000</v>
      </c>
      <c r="O35" s="24">
        <v>0.06</v>
      </c>
      <c r="P35" s="24">
        <v>0</v>
      </c>
      <c r="Q35" s="24">
        <v>0.06</v>
      </c>
      <c r="R35" s="24">
        <v>0</v>
      </c>
      <c r="S35" s="24">
        <v>0.06</v>
      </c>
      <c r="T35" s="24">
        <v>0</v>
      </c>
      <c r="U35" s="24">
        <v>0.06</v>
      </c>
      <c r="V35" s="24">
        <v>0</v>
      </c>
      <c r="W35" s="24">
        <v>0</v>
      </c>
      <c r="X35" s="24">
        <v>0</v>
      </c>
      <c r="Y35" s="24">
        <v>0</v>
      </c>
      <c r="Z35" s="24">
        <v>0</v>
      </c>
      <c r="AA35" s="24">
        <v>0</v>
      </c>
      <c r="AB35" s="24">
        <v>0</v>
      </c>
      <c r="AC35" s="24">
        <v>0</v>
      </c>
    </row>
    <row r="36" spans="1:29" s="25" customFormat="1" x14ac:dyDescent="0.25">
      <c r="A36" s="320"/>
      <c r="B36" s="320"/>
      <c r="C36" s="25" t="s">
        <v>150</v>
      </c>
      <c r="D36" s="30">
        <v>0.11</v>
      </c>
      <c r="E36" s="33" t="s">
        <v>261</v>
      </c>
      <c r="F36" s="25" t="s">
        <v>227</v>
      </c>
      <c r="G36" s="33" t="s">
        <v>183</v>
      </c>
      <c r="H36" s="25">
        <f>VALUE(LEFT(VLOOKUP(C36,'CFO Resource Import'!A:B,2,FALSE),LEN(VLOOKUP(C36,'CFO Resource Import'!A:B,2,FALSE))-LEN(G36)))</f>
        <v>0</v>
      </c>
      <c r="I36" s="25">
        <f>VALUE(LEFT(VLOOKUP(C36,'CFO Resource Import'!A:J,6,FALSE),LEN(VLOOKUP(C36,'CFO Resource Import'!A:J,6,FALSE))-LEN(G36)))</f>
        <v>0</v>
      </c>
      <c r="J36" s="255"/>
      <c r="K36" s="255"/>
      <c r="L36" s="260">
        <f t="shared" si="2"/>
        <v>0</v>
      </c>
      <c r="M36" s="177"/>
      <c r="N36" s="25">
        <v>403000000</v>
      </c>
      <c r="O36" s="25">
        <v>0.11</v>
      </c>
      <c r="P36" s="25">
        <v>403000000</v>
      </c>
      <c r="Q36" s="25">
        <v>0.11</v>
      </c>
      <c r="R36" s="25">
        <v>800000000</v>
      </c>
      <c r="S36" s="25">
        <v>0.11</v>
      </c>
      <c r="T36" s="25">
        <v>500000000</v>
      </c>
      <c r="U36" s="25">
        <v>0.11</v>
      </c>
      <c r="V36" s="25">
        <v>550000000</v>
      </c>
      <c r="W36" s="25">
        <v>1000000000</v>
      </c>
      <c r="X36" s="25">
        <v>700000000</v>
      </c>
      <c r="Y36" s="25">
        <v>700000000</v>
      </c>
      <c r="Z36" s="25">
        <v>1000000000</v>
      </c>
      <c r="AA36" s="25">
        <v>1000000000</v>
      </c>
      <c r="AB36" s="25">
        <v>500000000</v>
      </c>
      <c r="AC36" s="25">
        <v>500000000</v>
      </c>
    </row>
    <row r="37" spans="1:29" s="24" customFormat="1" x14ac:dyDescent="0.25">
      <c r="A37" s="320"/>
      <c r="B37" s="320"/>
      <c r="C37" s="24" t="s">
        <v>228</v>
      </c>
      <c r="D37" s="31">
        <v>0.04</v>
      </c>
      <c r="E37" s="32" t="s">
        <v>261</v>
      </c>
      <c r="F37" s="24" t="s">
        <v>229</v>
      </c>
      <c r="G37" s="32" t="s">
        <v>183</v>
      </c>
      <c r="H37" s="24">
        <f>VALUE(LEFT(VLOOKUP(C37,'CFO Resource Import'!A:B,2,FALSE),LEN(VLOOKUP(C37,'CFO Resource Import'!A:B,2,FALSE))-LEN(G37)))</f>
        <v>0</v>
      </c>
      <c r="I37" s="24">
        <f>VALUE(LEFT(VLOOKUP(C37,'CFO Resource Import'!A:J,6,FALSE),LEN(VLOOKUP(C37,'CFO Resource Import'!A:J,6,FALSE))-LEN(G37)))</f>
        <v>0</v>
      </c>
      <c r="J37" s="254"/>
      <c r="K37" s="254"/>
      <c r="L37" s="259">
        <f t="shared" si="2"/>
        <v>0</v>
      </c>
      <c r="M37" s="176"/>
      <c r="N37" s="24">
        <v>277500000</v>
      </c>
      <c r="O37" s="24">
        <v>0.04</v>
      </c>
      <c r="P37" s="24">
        <v>200000000</v>
      </c>
      <c r="Q37" s="24">
        <v>0.04</v>
      </c>
      <c r="R37" s="24">
        <v>100000000</v>
      </c>
      <c r="S37" s="24">
        <v>0.04</v>
      </c>
      <c r="T37" s="24">
        <v>100000000</v>
      </c>
      <c r="U37" s="24">
        <v>0.04</v>
      </c>
      <c r="V37" s="24">
        <v>0</v>
      </c>
      <c r="W37" s="24">
        <v>0</v>
      </c>
      <c r="X37" s="24">
        <v>0</v>
      </c>
      <c r="Y37" s="24">
        <v>0</v>
      </c>
      <c r="Z37" s="24">
        <v>0</v>
      </c>
      <c r="AA37" s="24">
        <v>0</v>
      </c>
      <c r="AB37" s="24">
        <v>0</v>
      </c>
      <c r="AC37" s="24">
        <v>0</v>
      </c>
    </row>
    <row r="38" spans="1:29" s="25" customFormat="1" x14ac:dyDescent="0.25">
      <c r="A38" s="320"/>
      <c r="B38" s="320"/>
      <c r="C38" s="25" t="s">
        <v>230</v>
      </c>
      <c r="D38" s="30">
        <v>0.04</v>
      </c>
      <c r="E38" s="33" t="s">
        <v>261</v>
      </c>
      <c r="F38" s="25" t="s">
        <v>231</v>
      </c>
      <c r="G38" s="33" t="s">
        <v>183</v>
      </c>
      <c r="H38" s="25">
        <f>VALUE(LEFT(VLOOKUP(C38,'CFO Resource Import'!A:B,2,FALSE),LEN(VLOOKUP(C38,'CFO Resource Import'!A:B,2,FALSE))-LEN(G38)))</f>
        <v>0</v>
      </c>
      <c r="I38" s="25">
        <f>VALUE(LEFT(VLOOKUP(C38,'CFO Resource Import'!A:J,6,FALSE),LEN(VLOOKUP(C38,'CFO Resource Import'!A:J,6,FALSE))-LEN(G38)))</f>
        <v>0</v>
      </c>
      <c r="J38" s="255"/>
      <c r="K38" s="261"/>
      <c r="L38" s="260">
        <f t="shared" si="2"/>
        <v>0</v>
      </c>
      <c r="M38" s="177"/>
      <c r="N38" s="25">
        <v>277500000</v>
      </c>
      <c r="O38" s="25">
        <v>0.04</v>
      </c>
      <c r="P38" s="25">
        <v>0</v>
      </c>
      <c r="Q38" s="25">
        <v>0.04</v>
      </c>
      <c r="R38" s="25">
        <v>0</v>
      </c>
      <c r="S38" s="25">
        <v>0.04</v>
      </c>
      <c r="T38" s="25">
        <v>0</v>
      </c>
      <c r="U38" s="25">
        <v>0.04</v>
      </c>
      <c r="V38" s="25">
        <v>0</v>
      </c>
      <c r="W38" s="25">
        <v>0</v>
      </c>
      <c r="X38" s="25">
        <v>0</v>
      </c>
      <c r="Y38" s="25">
        <v>0</v>
      </c>
      <c r="Z38" s="25">
        <v>0</v>
      </c>
      <c r="AA38" s="25">
        <v>0</v>
      </c>
      <c r="AB38" s="25">
        <v>0</v>
      </c>
      <c r="AC38" s="25">
        <v>0</v>
      </c>
    </row>
    <row r="39" spans="1:29" s="26" customFormat="1" ht="7.5" customHeight="1" x14ac:dyDescent="0.25">
      <c r="A39" s="34"/>
      <c r="B39" s="34"/>
      <c r="E39" s="35"/>
      <c r="G39" s="35"/>
      <c r="J39" s="256"/>
      <c r="K39" s="256"/>
      <c r="M39" s="158"/>
    </row>
    <row r="40" spans="1:29" s="24" customFormat="1" x14ac:dyDescent="0.25">
      <c r="A40" s="320" t="s">
        <v>74</v>
      </c>
      <c r="B40" s="320" t="s">
        <v>174</v>
      </c>
      <c r="C40" s="24" t="s">
        <v>232</v>
      </c>
      <c r="D40" s="31">
        <v>0.76400000000000001</v>
      </c>
      <c r="E40" s="32" t="s">
        <v>125</v>
      </c>
      <c r="F40" s="24" t="s">
        <v>233</v>
      </c>
      <c r="G40" s="32" t="s">
        <v>129</v>
      </c>
      <c r="H40" s="24">
        <f>VALUE(LEFT(VLOOKUP(C40,'CMO Resource Import'!A:B,2,FALSE),LEN(VLOOKUP(C40,'CMO Resource Import'!A:B,2,FALSE))-LEN(G40)))</f>
        <v>13000000</v>
      </c>
      <c r="I40" s="24">
        <f>VALUE(LEFT(VLOOKUP(C40,'CMO Resource Import'!A:J,6,FALSE),LEN(VLOOKUP(C40,'CMO Resource Import'!A:J,6,FALSE))-LEN(G40)))</f>
        <v>13000000</v>
      </c>
      <c r="J40" s="254"/>
      <c r="K40" s="254"/>
      <c r="L40" s="252">
        <f>H40+J40-K40</f>
        <v>13000000</v>
      </c>
      <c r="M40" s="178"/>
      <c r="N40" s="24">
        <v>4500000</v>
      </c>
      <c r="O40" s="24">
        <v>0.76400000000000001</v>
      </c>
      <c r="P40" s="24">
        <v>2500000</v>
      </c>
      <c r="Q40" s="24">
        <v>0.76400000000000001</v>
      </c>
      <c r="R40" s="24">
        <v>2500000</v>
      </c>
      <c r="S40" s="24">
        <v>2500000</v>
      </c>
      <c r="T40" s="24">
        <v>2500000</v>
      </c>
      <c r="U40" s="24">
        <v>2500000</v>
      </c>
      <c r="V40" s="24">
        <v>2500000</v>
      </c>
      <c r="W40" s="24">
        <v>2500000</v>
      </c>
      <c r="X40" s="24">
        <v>2500000</v>
      </c>
      <c r="Y40" s="24">
        <v>2500000</v>
      </c>
      <c r="Z40" s="24">
        <v>2500000</v>
      </c>
      <c r="AA40" s="24">
        <v>12500000</v>
      </c>
      <c r="AB40" s="24">
        <v>12500000</v>
      </c>
      <c r="AC40" s="24">
        <v>13000000</v>
      </c>
    </row>
    <row r="41" spans="1:29" s="25" customFormat="1" x14ac:dyDescent="0.25">
      <c r="A41" s="320"/>
      <c r="B41" s="320"/>
      <c r="C41" s="25" t="s">
        <v>234</v>
      </c>
      <c r="D41" s="30">
        <v>0.72950000000000004</v>
      </c>
      <c r="E41" s="33" t="s">
        <v>125</v>
      </c>
      <c r="F41" s="25" t="s">
        <v>64</v>
      </c>
      <c r="G41" s="33" t="s">
        <v>129</v>
      </c>
      <c r="H41" s="25">
        <f>VALUE(LEFT(VLOOKUP(C41,'CMO Resource Import'!A:B,2,FALSE),LEN(VLOOKUP(C41,'CMO Resource Import'!A:B,2,FALSE))-LEN(G41)))</f>
        <v>10000000</v>
      </c>
      <c r="I41" s="25">
        <f>VALUE(LEFT(VLOOKUP(C41,'CMO Resource Import'!A:J,6,FALSE),LEN(VLOOKUP(C41,'CMO Resource Import'!A:J,6,FALSE))-LEN(G41)))</f>
        <v>10000000</v>
      </c>
      <c r="J41" s="255"/>
      <c r="K41" s="255"/>
      <c r="L41" s="252">
        <f>H41+J41-K41</f>
        <v>10000000</v>
      </c>
      <c r="M41" s="179"/>
      <c r="N41" s="25">
        <v>2220000</v>
      </c>
      <c r="O41" s="25">
        <v>0.72950000000000004</v>
      </c>
      <c r="P41" s="25">
        <v>1420000</v>
      </c>
      <c r="Q41" s="25">
        <v>0.72950000000000004</v>
      </c>
      <c r="R41" s="25">
        <v>1420000</v>
      </c>
      <c r="S41" s="25">
        <v>3000000</v>
      </c>
      <c r="T41" s="25">
        <v>3000000</v>
      </c>
      <c r="U41" s="25">
        <v>8000000</v>
      </c>
      <c r="V41" s="25">
        <v>8000000</v>
      </c>
      <c r="W41" s="25">
        <v>20000000</v>
      </c>
      <c r="X41" s="25">
        <v>20000000</v>
      </c>
      <c r="Y41" s="25">
        <v>15000000</v>
      </c>
      <c r="Z41" s="25">
        <v>15000000</v>
      </c>
      <c r="AA41" s="25">
        <v>10000000</v>
      </c>
      <c r="AB41" s="25">
        <v>10000000</v>
      </c>
      <c r="AC41" s="25">
        <v>10000000</v>
      </c>
    </row>
    <row r="42" spans="1:29" s="24" customFormat="1" x14ac:dyDescent="0.25">
      <c r="A42" s="320"/>
      <c r="B42" s="320"/>
      <c r="C42" s="24" t="s">
        <v>235</v>
      </c>
      <c r="D42" s="31">
        <v>0.6915</v>
      </c>
      <c r="E42" s="32" t="s">
        <v>125</v>
      </c>
      <c r="F42" s="24" t="s">
        <v>65</v>
      </c>
      <c r="G42" s="32" t="s">
        <v>129</v>
      </c>
      <c r="H42" s="24">
        <f>VALUE(LEFT(VLOOKUP(C42,'CMO Resource Import'!A:B,2,FALSE),LEN(VLOOKUP(C42,'CMO Resource Import'!A:B,2,FALSE))-LEN(G42)))</f>
        <v>4500000</v>
      </c>
      <c r="I42" s="24">
        <f>VALUE(LEFT(VLOOKUP(C42,'CMO Resource Import'!A:J,6,FALSE),LEN(VLOOKUP(C42,'CMO Resource Import'!A:J,6,FALSE))-LEN(G42)))</f>
        <v>4500000</v>
      </c>
      <c r="J42" s="254"/>
      <c r="K42" s="254"/>
      <c r="L42" s="252">
        <f>H42+J42-K42</f>
        <v>4500000</v>
      </c>
      <c r="M42" s="178"/>
      <c r="N42" s="24">
        <v>1200000</v>
      </c>
      <c r="O42" s="24">
        <v>0.6915</v>
      </c>
      <c r="P42" s="24">
        <v>500000</v>
      </c>
      <c r="Q42" s="24">
        <v>0.6915</v>
      </c>
      <c r="R42" s="24">
        <v>500000</v>
      </c>
      <c r="S42" s="24">
        <v>500000</v>
      </c>
      <c r="T42" s="24">
        <v>500000</v>
      </c>
      <c r="U42" s="24">
        <v>1500000</v>
      </c>
      <c r="V42" s="24">
        <v>1500000</v>
      </c>
      <c r="W42" s="24">
        <v>4500000</v>
      </c>
      <c r="X42" s="24">
        <v>4500000</v>
      </c>
      <c r="Y42" s="24">
        <v>4500000</v>
      </c>
      <c r="Z42" s="24">
        <v>4500000</v>
      </c>
      <c r="AA42" s="24">
        <v>5000000</v>
      </c>
      <c r="AB42" s="24">
        <v>5000000</v>
      </c>
      <c r="AC42" s="24">
        <v>4500000</v>
      </c>
    </row>
    <row r="43" spans="1:29" s="7" customFormat="1" x14ac:dyDescent="0.25">
      <c r="A43" s="320"/>
      <c r="B43" s="324" t="s">
        <v>236</v>
      </c>
      <c r="C43" s="7" t="s">
        <v>237</v>
      </c>
      <c r="D43" s="30">
        <v>0.12</v>
      </c>
      <c r="E43" s="36" t="s">
        <v>261</v>
      </c>
      <c r="F43" s="7" t="s">
        <v>238</v>
      </c>
      <c r="G43" s="36" t="s">
        <v>261</v>
      </c>
      <c r="H43" s="30">
        <f>VALUE(LEFT(VLOOKUP(C43,'CMO Resource Import'!A:B,2,FALSE),LEN(VLOOKUP(C43,'CMO Resource Import'!A:B,2,FALSE))-LEN(G43)))/100</f>
        <v>0.13</v>
      </c>
      <c r="I43" s="30">
        <f>VALUE(LEFT(VLOOKUP(C43,'CMO Resource Import'!A:J,6,FALSE),LEN(VLOOKUP(C43,'CMO Resource Import'!A:J,6,FALSE))-LEN(G43)))/100</f>
        <v>0.13</v>
      </c>
      <c r="J43" s="255"/>
      <c r="K43" s="255"/>
      <c r="L43" s="30">
        <f>I43+J43/100-K43/100</f>
        <v>0.13</v>
      </c>
      <c r="M43" s="179"/>
      <c r="N43" s="7">
        <v>0.12</v>
      </c>
      <c r="O43" s="7">
        <v>0.12</v>
      </c>
      <c r="P43" s="7">
        <v>0.125</v>
      </c>
      <c r="Q43" s="7">
        <v>0.12</v>
      </c>
      <c r="R43" s="7">
        <v>0.127</v>
      </c>
      <c r="S43" s="7">
        <v>0.12</v>
      </c>
      <c r="T43" s="7">
        <v>0.13</v>
      </c>
      <c r="U43" s="7">
        <v>0.13</v>
      </c>
      <c r="V43" s="7">
        <v>0.13</v>
      </c>
      <c r="W43" s="7">
        <v>0.13</v>
      </c>
      <c r="X43" s="7">
        <v>0.13</v>
      </c>
      <c r="Y43" s="7">
        <v>0.125</v>
      </c>
      <c r="Z43" s="7">
        <v>0.125</v>
      </c>
      <c r="AA43" s="7">
        <v>0.13</v>
      </c>
      <c r="AB43" s="7">
        <v>0.13</v>
      </c>
      <c r="AC43" s="7">
        <v>0.13</v>
      </c>
    </row>
    <row r="44" spans="1:29" s="11" customFormat="1" x14ac:dyDescent="0.25">
      <c r="A44" s="320"/>
      <c r="B44" s="324"/>
      <c r="C44" s="11" t="s">
        <v>239</v>
      </c>
      <c r="D44" s="31">
        <v>0.03</v>
      </c>
      <c r="E44" s="37" t="s">
        <v>261</v>
      </c>
      <c r="F44" s="11" t="s">
        <v>240</v>
      </c>
      <c r="G44" s="37" t="s">
        <v>261</v>
      </c>
      <c r="H44" s="31">
        <f>VALUE(LEFT(VLOOKUP(C44,'CMO Resource Import'!A:B,2,FALSE),LEN(VLOOKUP(C44,'CMO Resource Import'!A:B,2,FALSE))-LEN(G44)))/100</f>
        <v>0.02</v>
      </c>
      <c r="I44" s="31">
        <f>VALUE(LEFT(VLOOKUP(C44,'CMO Resource Import'!A:J,6,FALSE),LEN(VLOOKUP(C44,'CMO Resource Import'!A:J,6,FALSE))-LEN(G44)))/100</f>
        <v>0.02</v>
      </c>
      <c r="J44" s="254"/>
      <c r="K44" s="254"/>
      <c r="L44" s="30">
        <f>I44+J44/100-K44/100</f>
        <v>0.02</v>
      </c>
      <c r="M44" s="178"/>
      <c r="N44" s="11">
        <v>0.03</v>
      </c>
      <c r="O44" s="11">
        <v>0.03</v>
      </c>
      <c r="P44" s="11">
        <v>0.03</v>
      </c>
      <c r="Q44" s="11">
        <v>0.03</v>
      </c>
      <c r="R44" s="11">
        <v>2.7999999999999997E-2</v>
      </c>
      <c r="S44" s="11">
        <v>0.03</v>
      </c>
      <c r="T44" s="11">
        <v>2.5000000000000001E-2</v>
      </c>
      <c r="U44" s="11">
        <v>2.5000000000000001E-2</v>
      </c>
      <c r="V44" s="11">
        <v>2.5000000000000001E-2</v>
      </c>
      <c r="W44" s="11">
        <v>2.5000000000000001E-2</v>
      </c>
      <c r="X44" s="11">
        <v>2.5000000000000001E-2</v>
      </c>
      <c r="Y44" s="11">
        <v>2.5000000000000001E-2</v>
      </c>
      <c r="Z44" s="11">
        <v>2.5000000000000001E-2</v>
      </c>
      <c r="AA44" s="11">
        <v>0.02</v>
      </c>
      <c r="AB44" s="11">
        <v>0.02</v>
      </c>
      <c r="AC44" s="11">
        <v>0.02</v>
      </c>
    </row>
    <row r="45" spans="1:29" s="26" customFormat="1" ht="7.5" customHeight="1" x14ac:dyDescent="0.25">
      <c r="A45" s="34"/>
      <c r="B45" s="34"/>
      <c r="E45" s="35"/>
      <c r="G45" s="35"/>
      <c r="J45" s="256"/>
      <c r="K45" s="256"/>
      <c r="M45" s="158"/>
    </row>
    <row r="46" spans="1:29" s="24" customFormat="1" x14ac:dyDescent="0.25">
      <c r="A46" s="320" t="s">
        <v>121</v>
      </c>
      <c r="B46" s="320" t="s">
        <v>241</v>
      </c>
      <c r="C46" s="24" t="s">
        <v>242</v>
      </c>
      <c r="D46" s="24">
        <v>120000</v>
      </c>
      <c r="E46" s="32" t="s">
        <v>259</v>
      </c>
      <c r="F46" s="24" t="s">
        <v>190</v>
      </c>
      <c r="G46" s="32" t="s">
        <v>263</v>
      </c>
      <c r="H46" s="24">
        <f>VALUE(LEFT(VLOOKUP(C46,'COO Resource Import'!A:B,2,FALSE),LEN(VLOOKUP(C46,'COO Resource Import'!A:B,2,FALSE))-LEN(G46)))</f>
        <v>469.62</v>
      </c>
      <c r="I46" s="24">
        <f>VALUE(LEFT(VLOOKUP(C46,'COO Resource Import'!A:J,6,FALSE),LEN(VLOOKUP(C46,'COO Resource Import'!A:J,6,FALSE))-LEN(G46)))</f>
        <v>469.62</v>
      </c>
      <c r="J46" s="254"/>
      <c r="K46" s="254"/>
      <c r="L46" s="24">
        <f t="shared" ref="L46:L58" si="3">H46+J46-K46</f>
        <v>469.62</v>
      </c>
      <c r="M46" s="178"/>
      <c r="N46" s="24">
        <v>88.94</v>
      </c>
      <c r="O46" s="24">
        <v>88.94</v>
      </c>
      <c r="P46" s="24">
        <v>88.4</v>
      </c>
      <c r="Q46" s="24">
        <v>88.4</v>
      </c>
      <c r="R46" s="24">
        <v>87.87</v>
      </c>
      <c r="S46" s="24">
        <v>137.87</v>
      </c>
      <c r="T46" s="24">
        <v>137.11000000000001</v>
      </c>
      <c r="U46" s="24">
        <v>137.11000000000001</v>
      </c>
      <c r="V46" s="24">
        <v>136.31</v>
      </c>
      <c r="W46" s="24">
        <v>136.31</v>
      </c>
      <c r="X46" s="24">
        <v>135.51</v>
      </c>
      <c r="Y46" s="24">
        <v>150.51</v>
      </c>
      <c r="Z46" s="24">
        <v>149.65</v>
      </c>
      <c r="AA46" s="24">
        <v>474.65</v>
      </c>
      <c r="AB46" s="24">
        <v>472.28</v>
      </c>
      <c r="AC46" s="24">
        <v>472.28</v>
      </c>
    </row>
    <row r="47" spans="1:29" s="25" customFormat="1" x14ac:dyDescent="0.25">
      <c r="A47" s="320"/>
      <c r="B47" s="320"/>
      <c r="C47" s="25" t="s">
        <v>243</v>
      </c>
      <c r="D47" s="25">
        <v>77500</v>
      </c>
      <c r="E47" s="33" t="s">
        <v>259</v>
      </c>
      <c r="F47" s="25" t="s">
        <v>190</v>
      </c>
      <c r="G47" s="33" t="s">
        <v>263</v>
      </c>
      <c r="H47" s="25">
        <f>VALUE(LEFT(VLOOKUP(C47,'COO Resource Import'!A:B,2,FALSE),LEN(VLOOKUP(C47,'COO Resource Import'!A:B,2,FALSE))-LEN(G47)))</f>
        <v>414.6</v>
      </c>
      <c r="I47" s="25">
        <f>VALUE(LEFT(VLOOKUP(C47,'COO Resource Import'!A:J,6,FALSE),LEN(VLOOKUP(C47,'COO Resource Import'!A:J,6,FALSE))-LEN(G47)))</f>
        <v>414.6</v>
      </c>
      <c r="J47" s="255"/>
      <c r="K47" s="255"/>
      <c r="L47" s="25">
        <f t="shared" si="3"/>
        <v>414.6</v>
      </c>
      <c r="M47" s="179"/>
      <c r="N47" s="25">
        <v>67.099999999999994</v>
      </c>
      <c r="O47" s="25">
        <v>67.099999999999994</v>
      </c>
      <c r="P47" s="25">
        <v>60.66</v>
      </c>
      <c r="Q47" s="25">
        <v>60.66</v>
      </c>
      <c r="R47" s="25">
        <v>54.84</v>
      </c>
      <c r="S47" s="25">
        <v>94.84</v>
      </c>
      <c r="T47" s="25">
        <v>92.98</v>
      </c>
      <c r="U47" s="25">
        <v>92.98</v>
      </c>
      <c r="V47" s="25">
        <v>91.84</v>
      </c>
      <c r="W47" s="25">
        <v>91.84</v>
      </c>
      <c r="X47" s="25">
        <v>90.73</v>
      </c>
      <c r="Y47" s="25">
        <v>120.73</v>
      </c>
      <c r="Z47" s="25">
        <v>119.6</v>
      </c>
      <c r="AA47" s="25">
        <v>419.6</v>
      </c>
      <c r="AB47" s="25">
        <v>417.21</v>
      </c>
      <c r="AC47" s="25">
        <v>417.21</v>
      </c>
    </row>
    <row r="48" spans="1:29" s="24" customFormat="1" x14ac:dyDescent="0.25">
      <c r="A48" s="320"/>
      <c r="B48" s="320"/>
      <c r="C48" s="24" t="s">
        <v>244</v>
      </c>
      <c r="D48" s="24">
        <v>77500</v>
      </c>
      <c r="E48" s="32" t="s">
        <v>259</v>
      </c>
      <c r="F48" s="24" t="s">
        <v>190</v>
      </c>
      <c r="G48" s="32" t="s">
        <v>263</v>
      </c>
      <c r="H48" s="24">
        <f>VALUE(LEFT(VLOOKUP(C48,'COO Resource Import'!A:B,2,FALSE),LEN(VLOOKUP(C48,'COO Resource Import'!A:B,2,FALSE))-LEN(G48)))</f>
        <v>18.87</v>
      </c>
      <c r="I48" s="24">
        <f>VALUE(LEFT(VLOOKUP(C48,'COO Resource Import'!A:J,6,FALSE),LEN(VLOOKUP(C48,'COO Resource Import'!A:J,6,FALSE))-LEN(G48)))</f>
        <v>18.87</v>
      </c>
      <c r="J48" s="254"/>
      <c r="K48" s="254"/>
      <c r="L48" s="24">
        <f t="shared" si="3"/>
        <v>18.87</v>
      </c>
      <c r="M48" s="178"/>
      <c r="N48" s="24">
        <v>9.44</v>
      </c>
      <c r="O48" s="24">
        <v>9.44</v>
      </c>
      <c r="P48" s="24">
        <v>9.3800000000000008</v>
      </c>
      <c r="Q48" s="24">
        <v>9.3800000000000008</v>
      </c>
      <c r="R48" s="24">
        <v>9.32</v>
      </c>
      <c r="S48" s="24">
        <v>9.32</v>
      </c>
      <c r="T48" s="24">
        <v>9.26</v>
      </c>
      <c r="U48" s="24">
        <v>9.26</v>
      </c>
      <c r="V48" s="24">
        <v>9.1999999999999993</v>
      </c>
      <c r="W48" s="24">
        <v>9.1999999999999993</v>
      </c>
      <c r="X48" s="24">
        <v>9.14</v>
      </c>
      <c r="Y48" s="24">
        <v>9.14</v>
      </c>
      <c r="Z48" s="24">
        <v>9.08</v>
      </c>
      <c r="AA48" s="24">
        <v>19.079999999999998</v>
      </c>
      <c r="AB48" s="24">
        <v>18.98</v>
      </c>
      <c r="AC48" s="24">
        <v>18.98</v>
      </c>
    </row>
    <row r="49" spans="1:29" s="25" customFormat="1" x14ac:dyDescent="0.25">
      <c r="A49" s="320"/>
      <c r="B49" s="320"/>
      <c r="C49" s="25" t="s">
        <v>245</v>
      </c>
      <c r="D49" s="25">
        <v>77500</v>
      </c>
      <c r="E49" s="33" t="s">
        <v>259</v>
      </c>
      <c r="F49" s="25" t="s">
        <v>190</v>
      </c>
      <c r="G49" s="33" t="s">
        <v>263</v>
      </c>
      <c r="H49" s="25">
        <f>VALUE(LEFT(VLOOKUP(C49,'COO Resource Import'!A:B,2,FALSE),LEN(VLOOKUP(C49,'COO Resource Import'!A:B,2,FALSE))-LEN(G49)))</f>
        <v>43.32</v>
      </c>
      <c r="I49" s="25">
        <f>VALUE(LEFT(VLOOKUP(C49,'COO Resource Import'!A:J,6,FALSE),LEN(VLOOKUP(C49,'COO Resource Import'!A:J,6,FALSE))-LEN(G49)))</f>
        <v>43.32</v>
      </c>
      <c r="J49" s="255"/>
      <c r="K49" s="255"/>
      <c r="L49" s="25">
        <f t="shared" si="3"/>
        <v>43.32</v>
      </c>
      <c r="M49" s="179"/>
      <c r="N49" s="25">
        <v>34.520000000000003</v>
      </c>
      <c r="O49" s="25">
        <v>34.520000000000003</v>
      </c>
      <c r="P49" s="25">
        <v>34.29</v>
      </c>
      <c r="Q49" s="25">
        <v>34.29</v>
      </c>
      <c r="R49" s="25">
        <v>34</v>
      </c>
      <c r="S49" s="25">
        <v>34</v>
      </c>
      <c r="T49" s="25">
        <v>33.68</v>
      </c>
      <c r="U49" s="25">
        <v>93.68</v>
      </c>
      <c r="V49" s="25">
        <v>93.01</v>
      </c>
      <c r="W49" s="25">
        <v>93.01</v>
      </c>
      <c r="X49" s="25">
        <v>92.14</v>
      </c>
      <c r="Y49" s="25">
        <v>92.14</v>
      </c>
      <c r="Z49" s="25">
        <v>91.22</v>
      </c>
      <c r="AA49" s="25">
        <v>91.22</v>
      </c>
      <c r="AB49" s="25">
        <v>89.79</v>
      </c>
      <c r="AC49" s="25">
        <v>44.790000000000006</v>
      </c>
    </row>
    <row r="50" spans="1:29" s="24" customFormat="1" x14ac:dyDescent="0.25">
      <c r="A50" s="320"/>
      <c r="B50" s="320"/>
      <c r="C50" s="24" t="s">
        <v>246</v>
      </c>
      <c r="D50" s="24">
        <v>50000</v>
      </c>
      <c r="E50" s="32" t="s">
        <v>259</v>
      </c>
      <c r="F50" s="24" t="s">
        <v>190</v>
      </c>
      <c r="G50" s="32" t="s">
        <v>263</v>
      </c>
      <c r="H50" s="24">
        <f>VALUE(LEFT(VLOOKUP(C50,'COO Resource Import'!A:B,2,FALSE),LEN(VLOOKUP(C50,'COO Resource Import'!A:B,2,FALSE))-LEN(G50)))</f>
        <v>241.13</v>
      </c>
      <c r="I50" s="24">
        <f>VALUE(LEFT(VLOOKUP(C50,'COO Resource Import'!A:J,6,FALSE),LEN(VLOOKUP(C50,'COO Resource Import'!A:J,6,FALSE))-LEN(G50)))</f>
        <v>241.13</v>
      </c>
      <c r="J50" s="254"/>
      <c r="K50" s="254"/>
      <c r="L50" s="24">
        <f t="shared" si="3"/>
        <v>241.13</v>
      </c>
      <c r="M50" s="178"/>
      <c r="N50" s="24">
        <v>174.46</v>
      </c>
      <c r="O50" s="24">
        <v>174.46</v>
      </c>
      <c r="P50" s="24">
        <v>174.33</v>
      </c>
      <c r="Q50" s="24">
        <v>242.33</v>
      </c>
      <c r="R50" s="24">
        <v>240.8</v>
      </c>
      <c r="S50" s="24">
        <v>440.8</v>
      </c>
      <c r="T50" s="24">
        <v>438.15</v>
      </c>
      <c r="U50" s="24">
        <v>438.15</v>
      </c>
      <c r="V50" s="24">
        <v>434.79</v>
      </c>
      <c r="W50" s="24">
        <v>434.79</v>
      </c>
      <c r="X50" s="24">
        <v>430.6</v>
      </c>
      <c r="Y50" s="24">
        <v>380.6</v>
      </c>
      <c r="Z50" s="24">
        <v>374.91</v>
      </c>
      <c r="AA50" s="24">
        <v>374.91</v>
      </c>
      <c r="AB50" s="24">
        <v>364.07</v>
      </c>
      <c r="AC50" s="24">
        <v>264.07</v>
      </c>
    </row>
    <row r="51" spans="1:29" s="25" customFormat="1" x14ac:dyDescent="0.25">
      <c r="A51" s="320"/>
      <c r="B51" s="320"/>
      <c r="C51" s="25" t="s">
        <v>247</v>
      </c>
      <c r="D51" s="25">
        <v>50000</v>
      </c>
      <c r="E51" s="33" t="s">
        <v>259</v>
      </c>
      <c r="F51" s="25" t="s">
        <v>190</v>
      </c>
      <c r="G51" s="33" t="s">
        <v>263</v>
      </c>
      <c r="H51" s="25">
        <f>VALUE(LEFT(VLOOKUP(C51,'COO Resource Import'!A:B,2,FALSE),LEN(VLOOKUP(C51,'COO Resource Import'!A:B,2,FALSE))-LEN(G51)))</f>
        <v>208.12</v>
      </c>
      <c r="I51" s="25">
        <f>VALUE(LEFT(VLOOKUP(C51,'COO Resource Import'!A:J,6,FALSE),LEN(VLOOKUP(C51,'COO Resource Import'!A:J,6,FALSE))-LEN(G51)))</f>
        <v>208.12</v>
      </c>
      <c r="J51" s="255"/>
      <c r="K51" s="255"/>
      <c r="L51" s="25">
        <f t="shared" si="3"/>
        <v>208.12</v>
      </c>
      <c r="M51" s="179"/>
      <c r="N51" s="25">
        <v>202.32</v>
      </c>
      <c r="O51" s="25">
        <v>202.32</v>
      </c>
      <c r="P51" s="25">
        <v>202.97</v>
      </c>
      <c r="Q51" s="25">
        <v>202.97</v>
      </c>
      <c r="R51" s="25">
        <v>201.59</v>
      </c>
      <c r="S51" s="25">
        <v>351.59000000000003</v>
      </c>
      <c r="T51" s="25">
        <v>349.43</v>
      </c>
      <c r="U51" s="25">
        <v>349.43</v>
      </c>
      <c r="V51" s="25">
        <v>346.78</v>
      </c>
      <c r="W51" s="25">
        <v>346.78</v>
      </c>
      <c r="X51" s="25">
        <v>343.72</v>
      </c>
      <c r="Y51" s="25">
        <v>303.72000000000003</v>
      </c>
      <c r="Z51" s="25">
        <v>299.89</v>
      </c>
      <c r="AA51" s="25">
        <v>299.89</v>
      </c>
      <c r="AB51" s="25">
        <v>294.07</v>
      </c>
      <c r="AC51" s="25">
        <v>214.07</v>
      </c>
    </row>
    <row r="52" spans="1:29" s="24" customFormat="1" x14ac:dyDescent="0.25">
      <c r="A52" s="320"/>
      <c r="B52" s="320"/>
      <c r="C52" s="24" t="s">
        <v>248</v>
      </c>
      <c r="D52" s="24">
        <v>50000</v>
      </c>
      <c r="E52" s="32" t="s">
        <v>259</v>
      </c>
      <c r="F52" s="24" t="s">
        <v>190</v>
      </c>
      <c r="G52" s="32" t="s">
        <v>263</v>
      </c>
      <c r="H52" s="24">
        <f>VALUE(LEFT(VLOOKUP(C52,'COO Resource Import'!A:B,2,FALSE),LEN(VLOOKUP(C52,'COO Resource Import'!A:B,2,FALSE))-LEN(G52)))</f>
        <v>468.29</v>
      </c>
      <c r="I52" s="24">
        <f>VALUE(LEFT(VLOOKUP(C52,'COO Resource Import'!A:J,6,FALSE),LEN(VLOOKUP(C52,'COO Resource Import'!A:J,6,FALSE))-LEN(G52)))</f>
        <v>468.29</v>
      </c>
      <c r="J52" s="254"/>
      <c r="K52" s="254"/>
      <c r="L52" s="24">
        <f t="shared" si="3"/>
        <v>468.29</v>
      </c>
      <c r="M52" s="178"/>
      <c r="N52" s="24">
        <v>212.23</v>
      </c>
      <c r="O52" s="24">
        <v>212.23</v>
      </c>
      <c r="P52" s="24">
        <v>211.93</v>
      </c>
      <c r="Q52" s="24">
        <v>226.93</v>
      </c>
      <c r="R52" s="24">
        <v>225.5</v>
      </c>
      <c r="S52" s="24">
        <v>325.5</v>
      </c>
      <c r="T52" s="24">
        <v>323.49</v>
      </c>
      <c r="U52" s="24">
        <v>453.49</v>
      </c>
      <c r="V52" s="24">
        <v>450.76</v>
      </c>
      <c r="W52" s="24">
        <v>450.76</v>
      </c>
      <c r="X52" s="24">
        <v>447.9</v>
      </c>
      <c r="Y52" s="24">
        <v>457.9</v>
      </c>
      <c r="Z52" s="24">
        <v>454.84</v>
      </c>
      <c r="AA52" s="24">
        <v>474.84</v>
      </c>
      <c r="AB52" s="24">
        <v>471.63</v>
      </c>
      <c r="AC52" s="24">
        <v>471.63</v>
      </c>
    </row>
    <row r="53" spans="1:29" s="25" customFormat="1" x14ac:dyDescent="0.25">
      <c r="A53" s="320"/>
      <c r="B53" s="320"/>
      <c r="C53" s="25" t="s">
        <v>249</v>
      </c>
      <c r="D53" s="25">
        <v>50000</v>
      </c>
      <c r="E53" s="33" t="s">
        <v>259</v>
      </c>
      <c r="F53" s="25" t="s">
        <v>190</v>
      </c>
      <c r="G53" s="33" t="s">
        <v>263</v>
      </c>
      <c r="H53" s="25">
        <f>VALUE(LEFT(VLOOKUP(C53,'COO Resource Import'!A:B,2,FALSE),LEN(VLOOKUP(C53,'COO Resource Import'!A:B,2,FALSE))-LEN(G53)))</f>
        <v>1463.15</v>
      </c>
      <c r="I53" s="25">
        <f>VALUE(LEFT(VLOOKUP(C53,'COO Resource Import'!A:J,6,FALSE),LEN(VLOOKUP(C53,'COO Resource Import'!A:J,6,FALSE))-LEN(G53)))</f>
        <v>1463.15</v>
      </c>
      <c r="J53" s="255"/>
      <c r="K53" s="255"/>
      <c r="L53" s="25">
        <f t="shared" si="3"/>
        <v>1463.15</v>
      </c>
      <c r="M53" s="179"/>
      <c r="N53" s="25">
        <v>163.35</v>
      </c>
      <c r="O53" s="25">
        <v>163.35</v>
      </c>
      <c r="P53" s="25">
        <v>163.26</v>
      </c>
      <c r="Q53" s="25">
        <v>229.26</v>
      </c>
      <c r="R53" s="25">
        <v>227.78</v>
      </c>
      <c r="S53" s="25">
        <v>447.78</v>
      </c>
      <c r="T53" s="25">
        <v>445.1</v>
      </c>
      <c r="U53" s="25">
        <v>500.1</v>
      </c>
      <c r="V53" s="25">
        <v>496.76</v>
      </c>
      <c r="W53" s="25">
        <v>996.76</v>
      </c>
      <c r="X53" s="25">
        <v>990.79</v>
      </c>
      <c r="Y53" s="25">
        <v>1190.79</v>
      </c>
      <c r="Z53" s="25">
        <v>1183.1099999999999</v>
      </c>
      <c r="AA53" s="25">
        <v>1383.11</v>
      </c>
      <c r="AB53" s="25">
        <v>1373.83</v>
      </c>
      <c r="AC53" s="25">
        <v>1473.83</v>
      </c>
    </row>
    <row r="54" spans="1:29" s="24" customFormat="1" x14ac:dyDescent="0.25">
      <c r="A54" s="320"/>
      <c r="B54" s="320"/>
      <c r="C54" s="24" t="s">
        <v>250</v>
      </c>
      <c r="D54" s="24">
        <v>50000</v>
      </c>
      <c r="E54" s="32" t="s">
        <v>259</v>
      </c>
      <c r="F54" s="24" t="s">
        <v>190</v>
      </c>
      <c r="G54" s="32" t="s">
        <v>263</v>
      </c>
      <c r="H54" s="24">
        <f>VALUE(LEFT(VLOOKUP(C54,'COO Resource Import'!A:B,2,FALSE),LEN(VLOOKUP(C54,'COO Resource Import'!A:B,2,FALSE))-LEN(G54)))</f>
        <v>1243.83</v>
      </c>
      <c r="I54" s="24">
        <f>VALUE(LEFT(VLOOKUP(C54,'COO Resource Import'!A:J,6,FALSE),LEN(VLOOKUP(C54,'COO Resource Import'!A:J,6,FALSE))-LEN(G54)))</f>
        <v>1243.83</v>
      </c>
      <c r="J54" s="254"/>
      <c r="K54" s="254"/>
      <c r="L54" s="24">
        <f t="shared" si="3"/>
        <v>1243.83</v>
      </c>
      <c r="M54" s="178"/>
      <c r="N54" s="24">
        <v>281.76</v>
      </c>
      <c r="O54" s="24">
        <v>281.76</v>
      </c>
      <c r="P54" s="24">
        <v>281.83</v>
      </c>
      <c r="Q54" s="24">
        <v>281.83</v>
      </c>
      <c r="R54" s="24">
        <v>279.61</v>
      </c>
      <c r="S54" s="24">
        <v>309.61</v>
      </c>
      <c r="T54" s="24">
        <v>307.17</v>
      </c>
      <c r="U54" s="24">
        <v>354.17</v>
      </c>
      <c r="V54" s="24">
        <v>351.29</v>
      </c>
      <c r="W54" s="24">
        <v>751.29</v>
      </c>
      <c r="X54" s="24">
        <v>746.42</v>
      </c>
      <c r="Y54" s="24">
        <v>966.42</v>
      </c>
      <c r="Z54" s="24">
        <v>960.07</v>
      </c>
      <c r="AA54" s="24">
        <v>1160.0700000000002</v>
      </c>
      <c r="AB54" s="24">
        <v>1152.56</v>
      </c>
      <c r="AC54" s="24">
        <v>1252.56</v>
      </c>
    </row>
    <row r="55" spans="1:29" s="25" customFormat="1" x14ac:dyDescent="0.25">
      <c r="A55" s="320"/>
      <c r="B55" s="320"/>
      <c r="C55" s="25" t="s">
        <v>251</v>
      </c>
      <c r="D55" s="25">
        <v>50000</v>
      </c>
      <c r="E55" s="33" t="s">
        <v>259</v>
      </c>
      <c r="F55" s="25" t="s">
        <v>190</v>
      </c>
      <c r="G55" s="33" t="s">
        <v>263</v>
      </c>
      <c r="H55" s="25">
        <f>VALUE(LEFT(VLOOKUP(C55,'COO Resource Import'!A:B,2,FALSE),LEN(VLOOKUP(C55,'COO Resource Import'!A:B,2,FALSE))-LEN(G55)))</f>
        <v>271.66000000000003</v>
      </c>
      <c r="I55" s="25">
        <f>VALUE(LEFT(VLOOKUP(C55,'COO Resource Import'!A:J,6,FALSE),LEN(VLOOKUP(C55,'COO Resource Import'!A:J,6,FALSE))-LEN(G55)))</f>
        <v>271.66000000000003</v>
      </c>
      <c r="J55" s="255"/>
      <c r="K55" s="255"/>
      <c r="L55" s="25">
        <f t="shared" si="3"/>
        <v>271.66000000000003</v>
      </c>
      <c r="M55" s="179"/>
      <c r="N55" s="25">
        <v>184.62</v>
      </c>
      <c r="O55" s="25">
        <v>184.62</v>
      </c>
      <c r="P55" s="25">
        <v>184.38</v>
      </c>
      <c r="Q55" s="25">
        <v>184.38</v>
      </c>
      <c r="R55" s="25">
        <v>182.94</v>
      </c>
      <c r="S55" s="25">
        <v>182.94</v>
      </c>
      <c r="T55" s="25">
        <v>181.27</v>
      </c>
      <c r="U55" s="25">
        <v>151.27000000000001</v>
      </c>
      <c r="V55" s="25">
        <v>149.72</v>
      </c>
      <c r="W55" s="25">
        <v>249.72</v>
      </c>
      <c r="X55" s="25">
        <v>247.9</v>
      </c>
      <c r="Y55" s="25">
        <v>257.89999999999998</v>
      </c>
      <c r="Z55" s="25">
        <v>255.99</v>
      </c>
      <c r="AA55" s="25">
        <v>275.99</v>
      </c>
      <c r="AB55" s="25">
        <v>273.93</v>
      </c>
      <c r="AC55" s="25">
        <v>273.93</v>
      </c>
    </row>
    <row r="56" spans="1:29" s="24" customFormat="1" x14ac:dyDescent="0.25">
      <c r="A56" s="320"/>
      <c r="B56" s="320" t="s">
        <v>252</v>
      </c>
      <c r="C56" s="24" t="s">
        <v>253</v>
      </c>
      <c r="D56" s="24">
        <v>780000</v>
      </c>
      <c r="E56" s="32" t="s">
        <v>259</v>
      </c>
      <c r="F56" s="24" t="s">
        <v>254</v>
      </c>
      <c r="G56" s="32" t="s">
        <v>263</v>
      </c>
      <c r="H56" s="24">
        <f>VALUE(LEFT(VLOOKUP(C56,'COO Resource Import'!A:B,2,FALSE),LEN(VLOOKUP(C56,'COO Resource Import'!A:B,2,FALSE))-LEN(G56)))</f>
        <v>0</v>
      </c>
      <c r="I56" s="24">
        <f>VALUE(LEFT(VLOOKUP(C56,'COO Resource Import'!A:J,6,FALSE),LEN(VLOOKUP(C56,'COO Resource Import'!A:J,6,FALSE))-LEN(G56)))</f>
        <v>0</v>
      </c>
      <c r="J56" s="254"/>
      <c r="K56" s="254"/>
      <c r="L56" s="24">
        <f t="shared" si="3"/>
        <v>0</v>
      </c>
      <c r="M56" s="178"/>
      <c r="N56" s="24">
        <v>0</v>
      </c>
      <c r="O56" s="24">
        <v>0</v>
      </c>
      <c r="P56" s="24">
        <v>0</v>
      </c>
      <c r="Q56" s="24">
        <v>2</v>
      </c>
      <c r="R56" s="24">
        <v>2</v>
      </c>
      <c r="S56" s="24">
        <v>2</v>
      </c>
      <c r="T56" s="24">
        <v>2</v>
      </c>
      <c r="U56" s="24">
        <v>6</v>
      </c>
      <c r="V56" s="24">
        <v>6</v>
      </c>
      <c r="W56" s="24">
        <v>6</v>
      </c>
      <c r="X56" s="24">
        <v>6</v>
      </c>
      <c r="Y56" s="24">
        <v>0</v>
      </c>
      <c r="Z56" s="24">
        <v>0</v>
      </c>
      <c r="AA56" s="24">
        <v>0</v>
      </c>
      <c r="AB56" s="24">
        <v>0</v>
      </c>
      <c r="AC56" s="24">
        <v>0</v>
      </c>
    </row>
    <row r="57" spans="1:29" s="25" customFormat="1" x14ac:dyDescent="0.25">
      <c r="A57" s="320"/>
      <c r="B57" s="320"/>
      <c r="C57" s="25" t="s">
        <v>255</v>
      </c>
      <c r="D57" s="25">
        <v>312000</v>
      </c>
      <c r="E57" s="33" t="s">
        <v>259</v>
      </c>
      <c r="F57" s="25" t="s">
        <v>256</v>
      </c>
      <c r="G57" s="33" t="s">
        <v>263</v>
      </c>
      <c r="H57" s="25">
        <f>VALUE(LEFT(VLOOKUP(C57,'COO Resource Import'!A:B,2,FALSE),LEN(VLOOKUP(C57,'COO Resource Import'!A:B,2,FALSE))-LEN(G57)))</f>
        <v>0</v>
      </c>
      <c r="I57" s="25">
        <f>VALUE(LEFT(VLOOKUP(C57,'COO Resource Import'!A:J,6,FALSE),LEN(VLOOKUP(C57,'COO Resource Import'!A:J,6,FALSE))-LEN(G57)))</f>
        <v>0</v>
      </c>
      <c r="J57" s="255"/>
      <c r="K57" s="255"/>
      <c r="L57" s="25">
        <f t="shared" si="3"/>
        <v>0</v>
      </c>
      <c r="M57" s="179"/>
      <c r="N57" s="25">
        <v>0</v>
      </c>
      <c r="O57" s="25">
        <v>0</v>
      </c>
      <c r="P57" s="25">
        <v>0</v>
      </c>
      <c r="Q57" s="25">
        <v>6</v>
      </c>
      <c r="R57" s="25">
        <v>6</v>
      </c>
      <c r="S57" s="25">
        <v>22</v>
      </c>
      <c r="T57" s="25">
        <v>22</v>
      </c>
      <c r="U57" s="25">
        <v>26</v>
      </c>
      <c r="V57" s="25">
        <v>26</v>
      </c>
      <c r="W57" s="25">
        <v>8</v>
      </c>
      <c r="X57" s="25">
        <v>8</v>
      </c>
      <c r="Y57" s="25">
        <v>4</v>
      </c>
      <c r="Z57" s="25">
        <v>4</v>
      </c>
      <c r="AA57" s="25">
        <v>4</v>
      </c>
      <c r="AB57" s="25">
        <v>4</v>
      </c>
      <c r="AC57" s="25">
        <v>0</v>
      </c>
    </row>
    <row r="58" spans="1:29" s="24" customFormat="1" x14ac:dyDescent="0.25">
      <c r="A58" s="320"/>
      <c r="B58" s="320"/>
      <c r="C58" s="24" t="s">
        <v>257</v>
      </c>
      <c r="D58" s="24">
        <v>520000</v>
      </c>
      <c r="E58" s="32" t="s">
        <v>259</v>
      </c>
      <c r="F58" s="24" t="s">
        <v>258</v>
      </c>
      <c r="G58" s="32" t="s">
        <v>263</v>
      </c>
      <c r="H58" s="24">
        <f>VALUE(LEFT(VLOOKUP(C58,'COO Resource Import'!A:B,2,FALSE),LEN(VLOOKUP(C58,'COO Resource Import'!A:B,2,FALSE))-LEN(G58)))</f>
        <v>0</v>
      </c>
      <c r="I58" s="24">
        <f>VALUE(LEFT(VLOOKUP(C58,'COO Resource Import'!A:J,6,FALSE),LEN(VLOOKUP(C58,'COO Resource Import'!A:J,6,FALSE))-LEN(G58)))</f>
        <v>0</v>
      </c>
      <c r="J58" s="254"/>
      <c r="K58" s="254"/>
      <c r="L58" s="24">
        <f t="shared" si="3"/>
        <v>0</v>
      </c>
      <c r="M58" s="178"/>
      <c r="N58" s="24">
        <v>0</v>
      </c>
      <c r="O58" s="24">
        <v>0</v>
      </c>
      <c r="P58" s="24">
        <v>0</v>
      </c>
      <c r="Q58" s="24">
        <v>4</v>
      </c>
      <c r="R58" s="24">
        <v>4</v>
      </c>
      <c r="S58" s="24">
        <v>16</v>
      </c>
      <c r="T58" s="24">
        <v>16</v>
      </c>
      <c r="U58" s="24">
        <v>24</v>
      </c>
      <c r="V58" s="24">
        <v>24</v>
      </c>
      <c r="W58" s="24">
        <v>4</v>
      </c>
      <c r="X58" s="24">
        <v>4</v>
      </c>
      <c r="Y58" s="24">
        <v>16</v>
      </c>
      <c r="Z58" s="24">
        <v>16</v>
      </c>
      <c r="AA58" s="24">
        <v>4</v>
      </c>
      <c r="AB58" s="24">
        <v>4</v>
      </c>
      <c r="AC58" s="24">
        <v>0</v>
      </c>
    </row>
    <row r="61" spans="1:29" x14ac:dyDescent="0.25">
      <c r="Z61" s="21"/>
      <c r="AA61" s="21"/>
    </row>
    <row r="62" spans="1:29" x14ac:dyDescent="0.25">
      <c r="H62" s="267"/>
    </row>
    <row r="63" spans="1:29" x14ac:dyDescent="0.25">
      <c r="H63" s="267"/>
      <c r="J63" s="264"/>
    </row>
  </sheetData>
  <mergeCells count="24">
    <mergeCell ref="AB1:AC1"/>
    <mergeCell ref="B40:B42"/>
    <mergeCell ref="B3:B7"/>
    <mergeCell ref="V1:W1"/>
    <mergeCell ref="T1:U1"/>
    <mergeCell ref="P1:Q1"/>
    <mergeCell ref="R1:S1"/>
    <mergeCell ref="N1:O1"/>
    <mergeCell ref="Z1:AA1"/>
    <mergeCell ref="X1:Y1"/>
    <mergeCell ref="J1:M1"/>
    <mergeCell ref="B46:B55"/>
    <mergeCell ref="B56:B58"/>
    <mergeCell ref="D1:F1"/>
    <mergeCell ref="G1:I1"/>
    <mergeCell ref="A1:C2"/>
    <mergeCell ref="A46:A58"/>
    <mergeCell ref="B12:B31"/>
    <mergeCell ref="B8:B11"/>
    <mergeCell ref="A3:A31"/>
    <mergeCell ref="B33:B38"/>
    <mergeCell ref="A33:A38"/>
    <mergeCell ref="A40:A44"/>
    <mergeCell ref="B43:B44"/>
  </mergeCells>
  <conditionalFormatting sqref="J3:J1048576">
    <cfRule type="cellIs" dxfId="24" priority="2" operator="notEqual">
      <formula>""</formula>
    </cfRule>
  </conditionalFormatting>
  <conditionalFormatting sqref="K65:K1048576 K3:K63">
    <cfRule type="cellIs" dxfId="23" priority="1" operator="notEqual">
      <formula>""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IO_uebertragen">
                <anchor moveWithCells="1" sizeWithCells="1">
                  <from>
                    <xdr:col>0</xdr:col>
                    <xdr:colOff>47625</xdr:colOff>
                    <xdr:row>0</xdr:row>
                    <xdr:rowOff>66675</xdr:rowOff>
                  </from>
                  <to>
                    <xdr:col>1</xdr:col>
                    <xdr:colOff>219075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CFO_uebertragen">
                <anchor moveWithCells="1" sizeWithCells="1">
                  <from>
                    <xdr:col>1</xdr:col>
                    <xdr:colOff>266700</xdr:colOff>
                    <xdr:row>0</xdr:row>
                    <xdr:rowOff>66675</xdr:rowOff>
                  </from>
                  <to>
                    <xdr:col>2</xdr:col>
                    <xdr:colOff>447675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CMO_uebertragen">
                <anchor moveWithCells="1" sizeWithCells="1">
                  <from>
                    <xdr:col>2</xdr:col>
                    <xdr:colOff>1495425</xdr:colOff>
                    <xdr:row>0</xdr:row>
                    <xdr:rowOff>66675</xdr:rowOff>
                  </from>
                  <to>
                    <xdr:col>2</xdr:col>
                    <xdr:colOff>1943100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COO_uebertragen">
                <anchor moveWithCells="1" sizeWithCells="1">
                  <from>
                    <xdr:col>2</xdr:col>
                    <xdr:colOff>1981200</xdr:colOff>
                    <xdr:row>0</xdr:row>
                    <xdr:rowOff>66675</xdr:rowOff>
                  </from>
                  <to>
                    <xdr:col>2</xdr:col>
                    <xdr:colOff>2428875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_BSC">
    <tabColor rgb="FF0070C0"/>
  </sheetPr>
  <dimension ref="A1:M118"/>
  <sheetViews>
    <sheetView workbookViewId="0">
      <pane xSplit="4" ySplit="1" topLeftCell="E5" activePane="bottomRight" state="frozen"/>
      <selection pane="topRight" activeCell="E1" sqref="E1"/>
      <selection pane="bottomLeft" activeCell="A2" sqref="A2"/>
      <selection pane="bottomRight" activeCell="M47" sqref="C44:M47"/>
    </sheetView>
  </sheetViews>
  <sheetFormatPr baseColWidth="10" defaultRowHeight="15" x14ac:dyDescent="0.25"/>
  <cols>
    <col min="1" max="2" width="3.7109375" style="4" bestFit="1" customWidth="1"/>
    <col min="3" max="3" width="63.85546875" bestFit="1" customWidth="1"/>
    <col min="4" max="4" width="12.7109375" bestFit="1" customWidth="1"/>
    <col min="5" max="5" width="16" bestFit="1" customWidth="1"/>
    <col min="6" max="6" width="11.7109375" bestFit="1" customWidth="1"/>
    <col min="7" max="7" width="12.7109375" bestFit="1" customWidth="1"/>
  </cols>
  <sheetData>
    <row r="1" spans="1:13" s="15" customFormat="1" x14ac:dyDescent="0.25">
      <c r="A1" s="330" t="s">
        <v>123</v>
      </c>
      <c r="B1" s="331"/>
      <c r="C1" s="327"/>
      <c r="D1" s="15" t="s">
        <v>122</v>
      </c>
      <c r="E1" s="15" t="s">
        <v>128</v>
      </c>
      <c r="F1" s="16">
        <v>42302</v>
      </c>
      <c r="G1" s="250">
        <v>42310</v>
      </c>
      <c r="H1" s="250">
        <v>42324</v>
      </c>
      <c r="I1" s="258">
        <v>42332</v>
      </c>
      <c r="J1" s="262">
        <v>42339</v>
      </c>
      <c r="K1" s="263">
        <v>42346</v>
      </c>
      <c r="L1" s="265">
        <v>42360</v>
      </c>
      <c r="M1" s="266">
        <v>42380</v>
      </c>
    </row>
    <row r="2" spans="1:13" s="10" customFormat="1" x14ac:dyDescent="0.25">
      <c r="A2" s="319" t="s">
        <v>50</v>
      </c>
      <c r="B2" s="319" t="s">
        <v>5</v>
      </c>
      <c r="C2" s="10" t="s">
        <v>0</v>
      </c>
      <c r="D2" s="10" t="s">
        <v>124</v>
      </c>
      <c r="E2" s="10">
        <f>VALUE(LEFT(VLOOKUP(C2,'CIO Import'!A:C,3,FALSE),LEN(VLOOKUP(C2,'CIO Import'!A:C,3,FALSE))-LEN(D2)))</f>
        <v>117.83</v>
      </c>
      <c r="F2" s="10">
        <v>233.31</v>
      </c>
      <c r="G2" s="10">
        <v>258.10000000000002</v>
      </c>
      <c r="H2" s="10">
        <v>268.14999999999998</v>
      </c>
      <c r="I2" s="10">
        <v>269.79000000000002</v>
      </c>
      <c r="J2" s="10">
        <v>231.47</v>
      </c>
      <c r="K2" s="10">
        <v>156.35</v>
      </c>
      <c r="L2" s="10">
        <v>167.26</v>
      </c>
      <c r="M2" s="10">
        <v>126.02</v>
      </c>
    </row>
    <row r="3" spans="1:13" s="7" customFormat="1" x14ac:dyDescent="0.25">
      <c r="A3" s="319"/>
      <c r="B3" s="319"/>
      <c r="C3" s="7" t="s">
        <v>1</v>
      </c>
      <c r="D3" s="7" t="s">
        <v>125</v>
      </c>
      <c r="E3" s="7">
        <f>VLOOKUP(C3,'CIO Import'!A:C,3,FALSE)</f>
        <v>1</v>
      </c>
      <c r="F3" s="7">
        <v>1</v>
      </c>
      <c r="G3" s="7">
        <v>1</v>
      </c>
      <c r="H3" s="7">
        <v>1</v>
      </c>
      <c r="I3" s="7">
        <v>1</v>
      </c>
      <c r="J3" s="7">
        <v>1</v>
      </c>
      <c r="K3" s="7">
        <v>1</v>
      </c>
      <c r="L3" s="7">
        <v>1</v>
      </c>
      <c r="M3" s="7">
        <v>1</v>
      </c>
    </row>
    <row r="4" spans="1:13" s="11" customFormat="1" x14ac:dyDescent="0.25">
      <c r="A4" s="319"/>
      <c r="B4" s="319"/>
      <c r="C4" s="11" t="s">
        <v>2</v>
      </c>
      <c r="D4" s="11" t="s">
        <v>125</v>
      </c>
      <c r="E4" s="11">
        <f>VLOOKUP(C4,'CIO Import'!A:C,3,FALSE)</f>
        <v>1</v>
      </c>
      <c r="F4" s="11">
        <v>1</v>
      </c>
      <c r="G4" s="11">
        <v>1</v>
      </c>
      <c r="H4" s="11">
        <v>1</v>
      </c>
      <c r="I4" s="11">
        <v>1</v>
      </c>
      <c r="J4" s="11">
        <v>1</v>
      </c>
      <c r="K4" s="11">
        <v>1</v>
      </c>
      <c r="L4" s="11">
        <v>1</v>
      </c>
      <c r="M4" s="11">
        <v>1</v>
      </c>
    </row>
    <row r="5" spans="1:13" s="7" customFormat="1" x14ac:dyDescent="0.25">
      <c r="A5" s="319"/>
      <c r="B5" s="319"/>
      <c r="C5" s="7" t="s">
        <v>3</v>
      </c>
      <c r="D5" s="7" t="s">
        <v>125</v>
      </c>
      <c r="E5" s="7">
        <f>VLOOKUP(C5,'CIO Import'!A:C,3,FALSE)</f>
        <v>1</v>
      </c>
      <c r="F5" s="7">
        <v>1</v>
      </c>
      <c r="G5" s="7">
        <v>1</v>
      </c>
      <c r="H5" s="7">
        <v>1</v>
      </c>
      <c r="I5" s="7">
        <v>1</v>
      </c>
      <c r="J5" s="7">
        <v>1</v>
      </c>
      <c r="K5" s="7">
        <v>1</v>
      </c>
      <c r="L5" s="7">
        <v>1</v>
      </c>
      <c r="M5" s="7">
        <v>1</v>
      </c>
    </row>
    <row r="6" spans="1:13" s="11" customFormat="1" x14ac:dyDescent="0.25">
      <c r="A6" s="319"/>
      <c r="B6" s="319"/>
      <c r="C6" s="11" t="s">
        <v>4</v>
      </c>
      <c r="D6" s="11" t="s">
        <v>125</v>
      </c>
      <c r="E6" s="11">
        <f>VLOOKUP(C6,'CIO Import'!A:C,3,FALSE)</f>
        <v>1</v>
      </c>
      <c r="F6" s="11">
        <v>1</v>
      </c>
      <c r="G6" s="11">
        <v>0.90469999999999995</v>
      </c>
      <c r="H6" s="11">
        <v>0.82569999999999999</v>
      </c>
      <c r="I6" s="11">
        <v>0.66720000000000002</v>
      </c>
      <c r="J6" s="11">
        <v>1</v>
      </c>
      <c r="K6" s="11">
        <v>1</v>
      </c>
      <c r="L6" s="11">
        <v>1</v>
      </c>
      <c r="M6" s="11">
        <v>1</v>
      </c>
    </row>
    <row r="7" spans="1:13" s="7" customFormat="1" x14ac:dyDescent="0.25">
      <c r="A7" s="319"/>
      <c r="B7" s="324" t="s">
        <v>6</v>
      </c>
      <c r="C7" s="7" t="s">
        <v>7</v>
      </c>
      <c r="D7" s="7" t="s">
        <v>125</v>
      </c>
      <c r="E7" s="7">
        <f>VLOOKUP(C7,'CIO Import'!A:C,3,FALSE)</f>
        <v>0.20860000000000001</v>
      </c>
      <c r="F7" s="7">
        <v>0.78390000000000004</v>
      </c>
      <c r="G7" s="7">
        <v>0.75390000000000001</v>
      </c>
      <c r="H7" s="7">
        <v>0.82150000000000001</v>
      </c>
      <c r="I7" s="7">
        <v>0.88880000000000003</v>
      </c>
      <c r="J7" s="7">
        <v>0.91500000000000004</v>
      </c>
      <c r="K7" s="7">
        <v>0.94279999999999997</v>
      </c>
      <c r="L7" s="7">
        <v>0.95540000000000003</v>
      </c>
      <c r="M7" s="7">
        <v>0.96040000000000003</v>
      </c>
    </row>
    <row r="8" spans="1:13" s="11" customFormat="1" x14ac:dyDescent="0.25">
      <c r="A8" s="319"/>
      <c r="B8" s="324"/>
      <c r="C8" s="11" t="s">
        <v>8</v>
      </c>
      <c r="D8" s="11" t="s">
        <v>125</v>
      </c>
      <c r="E8" s="11">
        <f>VLOOKUP(C8,'CIO Import'!A:C,3,FALSE)</f>
        <v>0.21249999999999999</v>
      </c>
      <c r="F8" s="11">
        <v>0.218</v>
      </c>
      <c r="G8" s="11">
        <v>0.218</v>
      </c>
      <c r="H8" s="11">
        <v>0.1852</v>
      </c>
      <c r="I8" s="11">
        <v>0.47810000000000002</v>
      </c>
      <c r="J8" s="11">
        <v>0.68230000000000002</v>
      </c>
      <c r="K8" s="11">
        <v>0.89410000000000001</v>
      </c>
      <c r="L8" s="11">
        <v>0.96230000000000004</v>
      </c>
      <c r="M8" s="11">
        <v>0.97719999999999996</v>
      </c>
    </row>
    <row r="9" spans="1:13" s="7" customFormat="1" x14ac:dyDescent="0.25">
      <c r="A9" s="319"/>
      <c r="B9" s="324"/>
      <c r="C9" s="7" t="s">
        <v>9</v>
      </c>
      <c r="D9" s="7" t="s">
        <v>125</v>
      </c>
      <c r="E9" s="7">
        <f>VLOOKUP(C9,'CIO Import'!A:C,3,FALSE)</f>
        <v>0.97970000000000002</v>
      </c>
      <c r="F9" s="7">
        <v>9.0399999999999994E-2</v>
      </c>
      <c r="G9" s="7">
        <v>9.0399999999999994E-2</v>
      </c>
      <c r="H9" s="7">
        <v>0.13320000000000001</v>
      </c>
      <c r="I9" s="7">
        <v>0.47610000000000002</v>
      </c>
      <c r="J9" s="7">
        <v>0.73609999999999998</v>
      </c>
      <c r="K9" s="7">
        <v>0.90959999999999996</v>
      </c>
      <c r="L9" s="7">
        <v>0.96550000000000002</v>
      </c>
      <c r="M9" s="7">
        <v>0.97770000000000001</v>
      </c>
    </row>
    <row r="10" spans="1:13" s="11" customFormat="1" x14ac:dyDescent="0.25">
      <c r="A10" s="333"/>
      <c r="B10" s="332"/>
      <c r="C10" s="11" t="s">
        <v>10</v>
      </c>
      <c r="D10" s="11" t="s">
        <v>125</v>
      </c>
      <c r="E10" s="11">
        <f>VLOOKUP(C10,'CIO Import'!A:C,3,FALSE)</f>
        <v>0.98</v>
      </c>
      <c r="F10" s="11">
        <v>0.82899999999999996</v>
      </c>
      <c r="G10" s="11">
        <v>0.84099999999999997</v>
      </c>
      <c r="H10" s="11">
        <v>0.85940000000000005</v>
      </c>
      <c r="I10" s="11">
        <v>0.91769999999999996</v>
      </c>
      <c r="J10" s="11">
        <v>0.95879999999999999</v>
      </c>
      <c r="K10" s="11">
        <v>0.98</v>
      </c>
      <c r="L10" s="11">
        <v>0.98</v>
      </c>
      <c r="M10" s="11">
        <v>0.98</v>
      </c>
    </row>
    <row r="11" spans="1:13" s="7" customFormat="1" x14ac:dyDescent="0.25">
      <c r="A11" s="319"/>
      <c r="B11" s="324"/>
      <c r="C11" s="7" t="s">
        <v>11</v>
      </c>
      <c r="D11" s="7" t="s">
        <v>125</v>
      </c>
      <c r="E11" s="7">
        <f>VLOOKUP(C11,'CIO Import'!A:C,3,FALSE)</f>
        <v>0.97970000000000002</v>
      </c>
      <c r="F11" s="7">
        <v>0.1187</v>
      </c>
      <c r="G11" s="7">
        <v>0.1187</v>
      </c>
      <c r="H11" s="7">
        <v>0.16009999999999999</v>
      </c>
      <c r="I11" s="7">
        <v>0.49209999999999998</v>
      </c>
      <c r="J11" s="7">
        <v>0.74380000000000002</v>
      </c>
      <c r="K11" s="7">
        <v>0.91190000000000004</v>
      </c>
      <c r="L11" s="7">
        <v>0.96589999999999998</v>
      </c>
      <c r="M11" s="7">
        <v>0.9778</v>
      </c>
    </row>
    <row r="12" spans="1:13" s="11" customFormat="1" x14ac:dyDescent="0.25">
      <c r="A12" s="333"/>
      <c r="B12" s="332"/>
      <c r="C12" s="11" t="s">
        <v>12</v>
      </c>
      <c r="D12" s="11" t="s">
        <v>125</v>
      </c>
      <c r="E12" s="11">
        <f>VLOOKUP(C12,'CIO Import'!A:C,3,FALSE)</f>
        <v>0.98</v>
      </c>
      <c r="F12" s="11">
        <v>0.79700000000000004</v>
      </c>
      <c r="G12" s="11">
        <v>0.80900000000000005</v>
      </c>
      <c r="H12" s="11">
        <v>0.82889999999999997</v>
      </c>
      <c r="I12" s="11">
        <v>0.89959999999999996</v>
      </c>
      <c r="J12" s="11">
        <v>0.95</v>
      </c>
      <c r="K12" s="11">
        <v>0.97870000000000001</v>
      </c>
      <c r="L12" s="11">
        <v>0.98</v>
      </c>
      <c r="M12" s="11">
        <v>0.98</v>
      </c>
    </row>
    <row r="13" spans="1:13" s="7" customFormat="1" x14ac:dyDescent="0.25">
      <c r="A13" s="319"/>
      <c r="B13" s="324"/>
      <c r="C13" s="7" t="s">
        <v>13</v>
      </c>
      <c r="D13" s="7" t="s">
        <v>125</v>
      </c>
      <c r="E13" s="7">
        <f>VLOOKUP(C13,'CIO Import'!A:C,3,FALSE)</f>
        <v>0.97970000000000002</v>
      </c>
      <c r="F13" s="7">
        <v>0.109</v>
      </c>
      <c r="G13" s="7">
        <v>0.109</v>
      </c>
      <c r="H13" s="7">
        <v>0.15090000000000001</v>
      </c>
      <c r="I13" s="7">
        <v>0.48659999999999998</v>
      </c>
      <c r="J13" s="7">
        <v>0.74119999999999997</v>
      </c>
      <c r="K13" s="7">
        <v>0.91110000000000002</v>
      </c>
      <c r="L13" s="7">
        <v>0.96579999999999999</v>
      </c>
      <c r="M13" s="7">
        <v>0.9778</v>
      </c>
    </row>
    <row r="14" spans="1:13" s="11" customFormat="1" x14ac:dyDescent="0.25">
      <c r="A14" s="333"/>
      <c r="B14" s="332"/>
      <c r="C14" s="11" t="s">
        <v>14</v>
      </c>
      <c r="D14" s="11" t="s">
        <v>125</v>
      </c>
      <c r="E14" s="11">
        <f>VLOOKUP(C14,'CIO Import'!A:C,3,FALSE)</f>
        <v>0.98</v>
      </c>
      <c r="F14" s="11">
        <v>0.86099999999999999</v>
      </c>
      <c r="G14" s="11">
        <v>0.873</v>
      </c>
      <c r="H14" s="11">
        <v>0.88990000000000002</v>
      </c>
      <c r="I14" s="11">
        <v>0.93579999999999997</v>
      </c>
      <c r="J14" s="11">
        <v>0.96760000000000002</v>
      </c>
      <c r="K14" s="11">
        <v>0.98</v>
      </c>
      <c r="L14" s="11">
        <v>0.98</v>
      </c>
      <c r="M14" s="11">
        <v>0.98</v>
      </c>
    </row>
    <row r="15" spans="1:13" s="7" customFormat="1" x14ac:dyDescent="0.25">
      <c r="A15" s="319"/>
      <c r="B15" s="324"/>
      <c r="C15" s="7" t="s">
        <v>15</v>
      </c>
      <c r="D15" s="7" t="s">
        <v>125</v>
      </c>
      <c r="E15" s="7">
        <f>VLOOKUP(C15,'CIO Import'!A:C,3,FALSE)</f>
        <v>0.97940000000000005</v>
      </c>
      <c r="F15" s="7">
        <v>0.13600000000000001</v>
      </c>
      <c r="G15" s="7">
        <v>0.13600000000000001</v>
      </c>
      <c r="H15" s="7">
        <v>0.17660000000000001</v>
      </c>
      <c r="I15" s="7">
        <v>0.50190000000000001</v>
      </c>
      <c r="J15" s="7">
        <v>0.65939999999999999</v>
      </c>
      <c r="K15" s="7">
        <v>0.84770000000000001</v>
      </c>
      <c r="L15" s="7">
        <v>0.95269999999999999</v>
      </c>
      <c r="M15" s="7">
        <v>0.97570000000000001</v>
      </c>
    </row>
    <row r="16" spans="1:13" s="11" customFormat="1" x14ac:dyDescent="0.25">
      <c r="A16" s="333"/>
      <c r="B16" s="332"/>
      <c r="C16" s="11" t="s">
        <v>16</v>
      </c>
      <c r="D16" s="11" t="s">
        <v>125</v>
      </c>
      <c r="E16" s="11">
        <f>VLOOKUP(C16,'CIO Import'!A:C,3,FALSE)</f>
        <v>0.98</v>
      </c>
      <c r="F16" s="11">
        <v>0.91300000000000003</v>
      </c>
      <c r="G16" s="11">
        <v>0.92500000000000004</v>
      </c>
      <c r="H16" s="11">
        <v>0.93940000000000001</v>
      </c>
      <c r="I16" s="11">
        <v>0.96530000000000005</v>
      </c>
      <c r="J16" s="11">
        <v>0.96740000000000004</v>
      </c>
      <c r="K16" s="11">
        <v>0.97889999999999999</v>
      </c>
      <c r="L16" s="11">
        <v>0.98</v>
      </c>
      <c r="M16" s="11">
        <v>0.98</v>
      </c>
    </row>
    <row r="17" spans="1:13" s="7" customFormat="1" x14ac:dyDescent="0.25">
      <c r="A17" s="319"/>
      <c r="B17" s="324"/>
      <c r="C17" s="7" t="s">
        <v>17</v>
      </c>
      <c r="D17" s="7" t="s">
        <v>125</v>
      </c>
      <c r="E17" s="7">
        <f>VLOOKUP(C17,'CIO Import'!A:C,3,FALSE)</f>
        <v>1</v>
      </c>
      <c r="F17" s="7">
        <v>0</v>
      </c>
      <c r="G17" s="7">
        <v>0.68169999999999997</v>
      </c>
      <c r="H17" s="7">
        <v>0.76600000000000001</v>
      </c>
      <c r="I17" s="7">
        <v>0.71599999999999997</v>
      </c>
      <c r="J17" s="7">
        <v>0.78900000000000003</v>
      </c>
      <c r="K17" s="7">
        <v>0.1164</v>
      </c>
      <c r="L17" s="7">
        <v>0.81869999999999998</v>
      </c>
      <c r="M17" s="7">
        <v>0.8387</v>
      </c>
    </row>
    <row r="18" spans="1:13" s="11" customFormat="1" x14ac:dyDescent="0.25">
      <c r="A18" s="333"/>
      <c r="B18" s="332"/>
      <c r="C18" s="11" t="s">
        <v>18</v>
      </c>
      <c r="D18" s="11" t="s">
        <v>125</v>
      </c>
      <c r="E18" s="11">
        <f>VLOOKUP(C18,'CIO Import'!A:C,3,FALSE)</f>
        <v>0.6855</v>
      </c>
      <c r="F18" s="11">
        <v>0.53459999999999996</v>
      </c>
      <c r="G18" s="11">
        <v>0.53359999999999996</v>
      </c>
      <c r="H18" s="11">
        <v>0.53249999999999997</v>
      </c>
      <c r="I18" s="11">
        <v>0.47220000000000001</v>
      </c>
      <c r="J18" s="11">
        <v>0.51759999999999995</v>
      </c>
      <c r="K18" s="11">
        <v>0.57789999999999997</v>
      </c>
      <c r="L18" s="11">
        <v>0.71419999999999995</v>
      </c>
      <c r="M18" s="11">
        <v>0.7198</v>
      </c>
    </row>
    <row r="19" spans="1:13" s="7" customFormat="1" x14ac:dyDescent="0.25">
      <c r="A19" s="319"/>
      <c r="B19" s="324"/>
      <c r="C19" s="7" t="s">
        <v>19</v>
      </c>
      <c r="D19" s="7" t="s">
        <v>125</v>
      </c>
      <c r="E19" s="7">
        <f>VLOOKUP(C19,'CIO Import'!A:C,3,FALSE)</f>
        <v>0.76400000000000001</v>
      </c>
      <c r="F19" s="7">
        <v>9.3600000000000003E-2</v>
      </c>
      <c r="G19" s="7">
        <v>9.3600000000000003E-2</v>
      </c>
      <c r="H19" s="7">
        <v>9.3899999999999997E-2</v>
      </c>
      <c r="I19" s="7">
        <v>0.1346</v>
      </c>
      <c r="J19" s="7">
        <v>0.2079</v>
      </c>
      <c r="K19" s="7">
        <v>0.29249999999999998</v>
      </c>
      <c r="L19" s="7">
        <v>0.38119999999999998</v>
      </c>
      <c r="M19" s="7">
        <v>0.27660000000000001</v>
      </c>
    </row>
    <row r="20" spans="1:13" s="11" customFormat="1" x14ac:dyDescent="0.25">
      <c r="A20" s="333"/>
      <c r="B20" s="332"/>
      <c r="C20" s="11" t="s">
        <v>20</v>
      </c>
      <c r="D20" s="11" t="s">
        <v>125</v>
      </c>
      <c r="E20" s="11">
        <f>VLOOKUP(C20,'CIO Import'!A:C,3,FALSE)</f>
        <v>0.74139999999999995</v>
      </c>
      <c r="F20" s="11">
        <v>0.94479999999999997</v>
      </c>
      <c r="G20" s="11">
        <v>0.95209999999999995</v>
      </c>
      <c r="H20" s="11">
        <v>0.9597</v>
      </c>
      <c r="I20" s="11">
        <v>0.86339999999999995</v>
      </c>
      <c r="J20" s="11">
        <v>0.8347</v>
      </c>
      <c r="K20" s="11">
        <v>0.6966</v>
      </c>
      <c r="L20" s="11">
        <v>0.67169999999999996</v>
      </c>
      <c r="M20" s="11">
        <v>0.55779999999999996</v>
      </c>
    </row>
    <row r="21" spans="1:13" s="7" customFormat="1" x14ac:dyDescent="0.25">
      <c r="A21" s="319"/>
      <c r="B21" s="324"/>
      <c r="C21" s="7" t="s">
        <v>21</v>
      </c>
      <c r="D21" s="7" t="s">
        <v>125</v>
      </c>
      <c r="E21" s="7">
        <f>VLOOKUP(C21,'CIO Import'!A:C,3,FALSE)</f>
        <v>0.71719999999999995</v>
      </c>
      <c r="F21" s="7">
        <v>0.81659999999999999</v>
      </c>
      <c r="G21" s="7">
        <v>1.1052999999999999</v>
      </c>
      <c r="H21" s="7">
        <v>1.2111000000000001</v>
      </c>
      <c r="I21" s="7">
        <v>1.4988999999999999</v>
      </c>
      <c r="J21" s="7">
        <v>0.94420000000000004</v>
      </c>
      <c r="K21" s="7">
        <v>0.67520000000000002</v>
      </c>
      <c r="L21" s="7">
        <v>0.80840000000000001</v>
      </c>
      <c r="M21" s="7">
        <v>0.77980000000000005</v>
      </c>
    </row>
    <row r="22" spans="1:13" s="11" customFormat="1" x14ac:dyDescent="0.25">
      <c r="A22" s="319"/>
      <c r="B22" s="324"/>
      <c r="C22" s="11" t="s">
        <v>22</v>
      </c>
      <c r="D22" s="11" t="s">
        <v>125</v>
      </c>
      <c r="E22" s="11">
        <f>VLOOKUP(C22,'CIO Import'!A:C,3,FALSE)</f>
        <v>0</v>
      </c>
      <c r="F22" s="11">
        <v>0.6089</v>
      </c>
      <c r="G22" s="11">
        <v>0.57279999999999998</v>
      </c>
      <c r="H22" s="11">
        <v>0.79910000000000003</v>
      </c>
      <c r="I22" s="11">
        <v>0.86780000000000002</v>
      </c>
      <c r="J22" s="11">
        <v>0.91690000000000005</v>
      </c>
      <c r="K22" s="11">
        <v>0.77500000000000002</v>
      </c>
      <c r="L22" s="11">
        <v>0.77680000000000005</v>
      </c>
      <c r="M22" s="11">
        <v>0.80830000000000002</v>
      </c>
    </row>
    <row r="23" spans="1:13" s="7" customFormat="1" x14ac:dyDescent="0.25">
      <c r="A23" s="319"/>
      <c r="B23" s="324"/>
      <c r="C23" s="7" t="s">
        <v>23</v>
      </c>
      <c r="D23" s="7" t="s">
        <v>125</v>
      </c>
      <c r="E23" s="7">
        <f>VLOOKUP(C23,'CIO Import'!A:C,3,FALSE)</f>
        <v>0.4143</v>
      </c>
      <c r="F23" s="7">
        <v>0.64890000000000003</v>
      </c>
      <c r="G23" s="7">
        <v>0.58699999999999997</v>
      </c>
      <c r="H23" s="7">
        <v>0.53059999999999996</v>
      </c>
      <c r="I23" s="7">
        <v>0.47010000000000002</v>
      </c>
      <c r="J23" s="7">
        <v>0.42070000000000002</v>
      </c>
      <c r="K23" s="7">
        <v>0.39729999999999999</v>
      </c>
      <c r="L23" s="7">
        <v>0.40050000000000002</v>
      </c>
      <c r="M23" s="7">
        <v>0.41</v>
      </c>
    </row>
    <row r="24" spans="1:13" s="11" customFormat="1" x14ac:dyDescent="0.25">
      <c r="A24" s="319"/>
      <c r="B24" s="324"/>
      <c r="C24" s="11" t="s">
        <v>24</v>
      </c>
      <c r="D24" s="11" t="s">
        <v>125</v>
      </c>
      <c r="E24" s="11">
        <f>VLOOKUP(C24,'CIO Import'!A:C,3,FALSE)</f>
        <v>6.2E-2</v>
      </c>
      <c r="F24" s="11">
        <v>0.50790000000000002</v>
      </c>
      <c r="G24" s="11">
        <v>0.34949999999999998</v>
      </c>
      <c r="H24" s="11">
        <v>0.2402</v>
      </c>
      <c r="I24" s="11">
        <v>0.1691</v>
      </c>
      <c r="J24" s="11">
        <v>0.124</v>
      </c>
      <c r="K24" s="11">
        <v>9.6699999999999994E-2</v>
      </c>
      <c r="L24" s="11">
        <v>7.9799999999999996E-2</v>
      </c>
      <c r="M24" s="11">
        <v>6.2600000000000003E-2</v>
      </c>
    </row>
    <row r="25" spans="1:13" s="7" customFormat="1" x14ac:dyDescent="0.25">
      <c r="A25" s="319"/>
      <c r="B25" s="324"/>
      <c r="C25" s="7" t="s">
        <v>25</v>
      </c>
      <c r="D25" s="7" t="s">
        <v>125</v>
      </c>
      <c r="E25" s="7">
        <f>VLOOKUP(C25,'CIO Import'!A:C,3,FALSE)</f>
        <v>0.63070000000000004</v>
      </c>
      <c r="F25" s="7">
        <v>0.65869999999999995</v>
      </c>
      <c r="G25" s="7">
        <v>0.64</v>
      </c>
      <c r="H25" s="7">
        <v>0.61909999999999998</v>
      </c>
      <c r="I25" s="7">
        <v>0.61609999999999998</v>
      </c>
      <c r="J25" s="7">
        <v>0.63590000000000002</v>
      </c>
      <c r="K25" s="7">
        <v>0.6502</v>
      </c>
      <c r="L25" s="7">
        <v>0.65539999999999998</v>
      </c>
      <c r="M25" s="7">
        <v>0.62080000000000002</v>
      </c>
    </row>
    <row r="26" spans="1:13" s="11" customFormat="1" x14ac:dyDescent="0.25">
      <c r="A26" s="319"/>
      <c r="B26" s="324"/>
      <c r="C26" s="11" t="s">
        <v>26</v>
      </c>
      <c r="D26" s="11" t="s">
        <v>125</v>
      </c>
      <c r="E26" s="11">
        <f>VLOOKUP(C26,'CIO Import'!A:C,3,FALSE)</f>
        <v>0.6925</v>
      </c>
      <c r="F26" s="11">
        <v>0.72309999999999997</v>
      </c>
      <c r="G26" s="11">
        <v>0.65910000000000002</v>
      </c>
      <c r="H26" s="11">
        <v>0.55310000000000004</v>
      </c>
      <c r="I26" s="11">
        <v>0.39350000000000002</v>
      </c>
      <c r="J26" s="11">
        <v>0.56430000000000002</v>
      </c>
      <c r="K26" s="11">
        <v>0.64049999999999996</v>
      </c>
      <c r="L26" s="11">
        <v>0.64859999999999995</v>
      </c>
      <c r="M26" s="11">
        <v>0.67149999999999999</v>
      </c>
    </row>
    <row r="27" spans="1:13" s="6" customFormat="1" x14ac:dyDescent="0.25">
      <c r="A27" s="319"/>
      <c r="B27" s="319" t="s">
        <v>27</v>
      </c>
      <c r="C27" s="6" t="s">
        <v>28</v>
      </c>
      <c r="D27" s="6" t="s">
        <v>126</v>
      </c>
      <c r="E27" s="6">
        <f>VALUE(LEFT(VLOOKUP(C27,'CIO Import'!A:C,3,FALSE),LEN(VLOOKUP(C27,'CIO Import'!A:C,3,FALSE))-LEN(D27)))</f>
        <v>4.1900000000000004</v>
      </c>
      <c r="F27" s="6">
        <v>3.33</v>
      </c>
      <c r="G27" s="6">
        <v>3.83</v>
      </c>
      <c r="H27" s="6">
        <v>4.33</v>
      </c>
      <c r="I27" s="6">
        <v>4.83</v>
      </c>
      <c r="J27" s="6">
        <v>4.87</v>
      </c>
      <c r="K27" s="6">
        <v>4.28</v>
      </c>
      <c r="L27" s="6">
        <v>4.22</v>
      </c>
      <c r="M27" s="6">
        <v>3.96</v>
      </c>
    </row>
    <row r="28" spans="1:13" s="10" customFormat="1" x14ac:dyDescent="0.25">
      <c r="A28" s="319"/>
      <c r="B28" s="319"/>
      <c r="C28" s="10" t="s">
        <v>29</v>
      </c>
      <c r="D28" s="10" t="s">
        <v>126</v>
      </c>
      <c r="E28" s="10">
        <f>VALUE(LEFT(VLOOKUP(C28,'CIO Import'!A:C,3,FALSE),LEN(VLOOKUP(C28,'CIO Import'!A:C,3,FALSE))-LEN(D28)))</f>
        <v>2.57</v>
      </c>
      <c r="F28" s="10">
        <v>4.74</v>
      </c>
      <c r="G28" s="10">
        <v>4.01</v>
      </c>
      <c r="H28" s="10">
        <v>2.71</v>
      </c>
      <c r="I28" s="10">
        <v>2.37</v>
      </c>
      <c r="J28" s="10">
        <v>2.87</v>
      </c>
      <c r="K28" s="10">
        <v>2.77</v>
      </c>
      <c r="L28" s="10">
        <v>2.62</v>
      </c>
      <c r="M28" s="10">
        <v>2.5499999999999998</v>
      </c>
    </row>
    <row r="29" spans="1:13" s="6" customFormat="1" x14ac:dyDescent="0.25">
      <c r="A29" s="319"/>
      <c r="B29" s="319"/>
      <c r="C29" s="6" t="s">
        <v>30</v>
      </c>
      <c r="D29" s="6" t="s">
        <v>126</v>
      </c>
      <c r="E29" s="6">
        <f>VALUE(LEFT(VLOOKUP(C29,'CIO Import'!A:C,3,FALSE),LEN(VLOOKUP(C29,'CIO Import'!A:C,3,FALSE))-LEN(D29)))</f>
        <v>4.84</v>
      </c>
      <c r="F29" s="6">
        <v>4.83</v>
      </c>
      <c r="G29" s="6">
        <v>5.33</v>
      </c>
      <c r="H29" s="6">
        <v>5.83</v>
      </c>
      <c r="I29" s="6">
        <v>6.33</v>
      </c>
      <c r="J29" s="6">
        <v>6.83</v>
      </c>
      <c r="K29" s="6">
        <v>7.33</v>
      </c>
      <c r="L29" s="6">
        <v>7.83</v>
      </c>
      <c r="M29" s="6">
        <v>6.47</v>
      </c>
    </row>
    <row r="30" spans="1:13" s="10" customFormat="1" x14ac:dyDescent="0.25">
      <c r="A30" s="319"/>
      <c r="B30" s="319"/>
      <c r="C30" s="10" t="s">
        <v>31</v>
      </c>
      <c r="D30" s="10" t="s">
        <v>126</v>
      </c>
      <c r="E30" s="10">
        <f>VALUE(LEFT(VLOOKUP(C30,'CIO Import'!A:C,3,FALSE),LEN(VLOOKUP(C30,'CIO Import'!A:C,3,FALSE))-LEN(D30)))</f>
        <v>4.74</v>
      </c>
      <c r="F30" s="10">
        <v>4.33</v>
      </c>
      <c r="G30" s="10">
        <v>4.83</v>
      </c>
      <c r="H30" s="10">
        <v>5.33</v>
      </c>
      <c r="I30" s="10">
        <v>5.83</v>
      </c>
      <c r="J30" s="10">
        <v>6.33</v>
      </c>
      <c r="K30" s="10">
        <v>6.08</v>
      </c>
      <c r="L30" s="10">
        <v>5.05</v>
      </c>
      <c r="M30" s="10">
        <v>4.24</v>
      </c>
    </row>
    <row r="31" spans="1:13" s="6" customFormat="1" x14ac:dyDescent="0.25">
      <c r="A31" s="319"/>
      <c r="B31" s="319"/>
      <c r="C31" s="6" t="s">
        <v>32</v>
      </c>
      <c r="D31" s="6" t="s">
        <v>126</v>
      </c>
      <c r="E31" s="6">
        <f>VALUE(LEFT(VLOOKUP(C31,'CIO Import'!A:C,3,FALSE),LEN(VLOOKUP(C31,'CIO Import'!A:C,3,FALSE))-LEN(D31)))</f>
        <v>12.33</v>
      </c>
      <c r="F31" s="6">
        <v>8.33</v>
      </c>
      <c r="G31" s="6">
        <v>8.83</v>
      </c>
      <c r="H31" s="6">
        <v>9.33</v>
      </c>
      <c r="I31" s="6">
        <v>9.83</v>
      </c>
      <c r="J31" s="6">
        <v>10.33</v>
      </c>
      <c r="K31" s="6">
        <v>10.83</v>
      </c>
      <c r="L31" s="6">
        <v>11.33</v>
      </c>
      <c r="M31" s="6">
        <v>11.83</v>
      </c>
    </row>
    <row r="32" spans="1:13" s="10" customFormat="1" x14ac:dyDescent="0.25">
      <c r="A32" s="319"/>
      <c r="B32" s="319"/>
      <c r="C32" s="10" t="s">
        <v>33</v>
      </c>
      <c r="D32" s="10" t="s">
        <v>126</v>
      </c>
      <c r="E32" s="10">
        <f>VALUE(LEFT(VLOOKUP(C32,'CIO Import'!A:C,3,FALSE),LEN(VLOOKUP(C32,'CIO Import'!A:C,3,FALSE))-LEN(D32)))</f>
        <v>3.02</v>
      </c>
      <c r="F32" s="10">
        <v>3.54</v>
      </c>
      <c r="G32" s="10">
        <v>2.93</v>
      </c>
      <c r="H32" s="10">
        <v>3.14</v>
      </c>
      <c r="I32" s="10">
        <v>2.63</v>
      </c>
      <c r="J32" s="10">
        <v>2.82</v>
      </c>
      <c r="K32" s="10">
        <v>3</v>
      </c>
      <c r="L32" s="10">
        <v>2.74</v>
      </c>
      <c r="M32" s="10">
        <v>2.62</v>
      </c>
    </row>
    <row r="33" spans="1:13" s="6" customFormat="1" x14ac:dyDescent="0.25">
      <c r="A33" s="319"/>
      <c r="B33" s="319"/>
      <c r="C33" s="6" t="s">
        <v>34</v>
      </c>
      <c r="D33" s="6" t="s">
        <v>126</v>
      </c>
      <c r="E33" s="6">
        <f>VALUE(LEFT(VLOOKUP(C33,'CIO Import'!A:C,3,FALSE),LEN(VLOOKUP(C33,'CIO Import'!A:C,3,FALSE))-LEN(D33)))</f>
        <v>3.48</v>
      </c>
      <c r="F33" s="6">
        <v>5.3</v>
      </c>
      <c r="G33" s="6">
        <v>4.2</v>
      </c>
      <c r="H33" s="6">
        <v>4.33</v>
      </c>
      <c r="I33" s="6">
        <v>3.51</v>
      </c>
      <c r="J33" s="6">
        <v>3.62</v>
      </c>
      <c r="K33" s="6">
        <v>3.73</v>
      </c>
      <c r="L33" s="6">
        <v>3.31</v>
      </c>
      <c r="M33" s="6">
        <v>3.09</v>
      </c>
    </row>
    <row r="34" spans="1:13" s="10" customFormat="1" x14ac:dyDescent="0.25">
      <c r="A34" s="319"/>
      <c r="B34" s="319"/>
      <c r="C34" s="10" t="s">
        <v>35</v>
      </c>
      <c r="D34" s="10" t="s">
        <v>127</v>
      </c>
      <c r="E34" s="10">
        <f>VALUE(LEFT(VLOOKUP(C34,'CIO Import'!A:C,3,FALSE),LEN(VLOOKUP(C34,'CIO Import'!A:C,3,FALSE))-LEN(D34)))</f>
        <v>12.54</v>
      </c>
      <c r="F34" s="10">
        <v>8</v>
      </c>
      <c r="G34" s="10">
        <v>8</v>
      </c>
      <c r="H34" s="10">
        <v>8</v>
      </c>
      <c r="I34" s="10">
        <v>8</v>
      </c>
      <c r="J34" s="10">
        <v>9.25</v>
      </c>
      <c r="K34" s="10">
        <v>11.3</v>
      </c>
      <c r="L34" s="10">
        <v>11.91</v>
      </c>
      <c r="M34" s="10">
        <v>12.39</v>
      </c>
    </row>
    <row r="35" spans="1:13" s="6" customFormat="1" x14ac:dyDescent="0.25">
      <c r="A35" s="319"/>
      <c r="B35" s="319"/>
      <c r="C35" s="6" t="s">
        <v>36</v>
      </c>
      <c r="D35" s="6" t="s">
        <v>127</v>
      </c>
      <c r="E35" s="6">
        <f>VALUE(LEFT(VLOOKUP(C35,'CIO Import'!A:C,3,FALSE),LEN(VLOOKUP(C35,'CIO Import'!A:C,3,FALSE))-LEN(D35)))</f>
        <v>19.77</v>
      </c>
      <c r="F35" s="6">
        <v>6.02</v>
      </c>
      <c r="G35" s="6">
        <v>6.02</v>
      </c>
      <c r="H35" s="6">
        <v>6.02</v>
      </c>
      <c r="I35" s="6">
        <v>6.02</v>
      </c>
      <c r="J35" s="6">
        <v>6.02</v>
      </c>
      <c r="K35" s="6">
        <v>6.02</v>
      </c>
      <c r="L35" s="6">
        <v>6.02</v>
      </c>
      <c r="M35" s="6">
        <v>15.68</v>
      </c>
    </row>
    <row r="36" spans="1:13" s="10" customFormat="1" x14ac:dyDescent="0.25">
      <c r="A36" s="319"/>
      <c r="B36" s="319"/>
      <c r="C36" s="10" t="s">
        <v>37</v>
      </c>
      <c r="D36" s="10" t="s">
        <v>127</v>
      </c>
      <c r="E36" s="10">
        <f>VALUE(LEFT(VLOOKUP(C36,'CIO Import'!A:C,3,FALSE),LEN(VLOOKUP(C36,'CIO Import'!A:C,3,FALSE))-LEN(D36)))</f>
        <v>18.27</v>
      </c>
      <c r="F36" s="10">
        <v>12.06</v>
      </c>
      <c r="G36" s="10">
        <v>12.06</v>
      </c>
      <c r="H36" s="10">
        <v>12.06</v>
      </c>
      <c r="I36" s="10">
        <v>12.06</v>
      </c>
      <c r="J36" s="10">
        <v>12.06</v>
      </c>
      <c r="K36" s="10">
        <v>14.82</v>
      </c>
      <c r="L36" s="10">
        <v>18.05</v>
      </c>
      <c r="M36" s="10">
        <v>18.27</v>
      </c>
    </row>
    <row r="37" spans="1:13" s="6" customFormat="1" x14ac:dyDescent="0.25">
      <c r="A37" s="319"/>
      <c r="B37" s="319"/>
      <c r="C37" s="6" t="s">
        <v>38</v>
      </c>
      <c r="D37" s="6" t="s">
        <v>127</v>
      </c>
      <c r="E37" s="6">
        <f>VALUE(LEFT(VLOOKUP(C37,'CIO Import'!A:C,3,FALSE),LEN(VLOOKUP(C37,'CIO Import'!A:C,3,FALSE))-LEN(D37)))</f>
        <v>14.44</v>
      </c>
      <c r="F37" s="6">
        <v>14.44</v>
      </c>
      <c r="G37" s="6">
        <v>14.44</v>
      </c>
      <c r="H37" s="6">
        <v>14.44</v>
      </c>
      <c r="I37" s="6">
        <v>14.44</v>
      </c>
      <c r="J37" s="6">
        <v>14.44</v>
      </c>
      <c r="K37" s="6">
        <v>14.44</v>
      </c>
      <c r="L37" s="6">
        <v>14.44</v>
      </c>
      <c r="M37" s="6">
        <v>14.44</v>
      </c>
    </row>
    <row r="38" spans="1:13" s="10" customFormat="1" x14ac:dyDescent="0.25">
      <c r="A38" s="319"/>
      <c r="B38" s="319"/>
      <c r="C38" s="10" t="s">
        <v>39</v>
      </c>
      <c r="D38" s="10" t="s">
        <v>127</v>
      </c>
      <c r="E38" s="10">
        <f>VALUE(LEFT(VLOOKUP(C38,'CIO Import'!A:C,3,FALSE),LEN(VLOOKUP(C38,'CIO Import'!A:C,3,FALSE))-LEN(D38)))</f>
        <v>5.84</v>
      </c>
      <c r="F38" s="10">
        <v>10.8</v>
      </c>
      <c r="G38" s="10">
        <v>8.36</v>
      </c>
      <c r="H38" s="10">
        <v>9.0299999999999994</v>
      </c>
      <c r="I38" s="10">
        <v>10.38</v>
      </c>
      <c r="J38" s="10">
        <v>4.01</v>
      </c>
      <c r="K38" s="10">
        <v>4.22</v>
      </c>
      <c r="L38" s="10">
        <v>4.58</v>
      </c>
      <c r="M38" s="10">
        <v>5.1100000000000003</v>
      </c>
    </row>
    <row r="39" spans="1:13" s="6" customFormat="1" x14ac:dyDescent="0.25">
      <c r="A39" s="319"/>
      <c r="B39" s="319"/>
      <c r="C39" s="6" t="s">
        <v>40</v>
      </c>
      <c r="D39" s="6" t="s">
        <v>127</v>
      </c>
      <c r="E39" s="6">
        <f>VALUE(LEFT(VLOOKUP(C39,'CIO Import'!A:C,3,FALSE),LEN(VLOOKUP(C39,'CIO Import'!A:C,3,FALSE))-LEN(D39)))</f>
        <v>4.46</v>
      </c>
      <c r="F39" s="6">
        <v>11.14</v>
      </c>
      <c r="G39" s="6">
        <v>8.7200000000000006</v>
      </c>
      <c r="H39" s="6">
        <v>9.15</v>
      </c>
      <c r="I39" s="6">
        <v>9.98</v>
      </c>
      <c r="J39" s="6">
        <v>3.85</v>
      </c>
      <c r="K39" s="6">
        <v>3.94</v>
      </c>
      <c r="L39" s="6">
        <v>4.07</v>
      </c>
      <c r="M39" s="6">
        <v>4.24</v>
      </c>
    </row>
    <row r="40" spans="1:13" s="11" customFormat="1" x14ac:dyDescent="0.25">
      <c r="A40" s="319"/>
      <c r="B40" s="319"/>
      <c r="C40" s="11" t="s">
        <v>41</v>
      </c>
      <c r="D40" s="11" t="s">
        <v>125</v>
      </c>
      <c r="E40" s="11">
        <f>VLOOKUP(C40,'CIO Import'!A:C,3,FALSE)</f>
        <v>0.71809999999999996</v>
      </c>
      <c r="F40" s="11">
        <v>0.4763</v>
      </c>
      <c r="G40" s="11">
        <v>0.53720000000000001</v>
      </c>
      <c r="H40" s="11">
        <v>0.57299999999999995</v>
      </c>
      <c r="I40" s="11">
        <v>0.92079999999999995</v>
      </c>
      <c r="J40" s="11">
        <v>1.2230000000000001</v>
      </c>
      <c r="K40" s="11">
        <v>1.0096000000000001</v>
      </c>
      <c r="L40" s="11">
        <v>0.95809999999999995</v>
      </c>
      <c r="M40" s="11">
        <v>0.83160000000000001</v>
      </c>
    </row>
    <row r="41" spans="1:13" s="7" customFormat="1" x14ac:dyDescent="0.25">
      <c r="A41" s="319"/>
      <c r="B41" s="319"/>
      <c r="C41" s="7" t="s">
        <v>42</v>
      </c>
      <c r="D41" s="7" t="s">
        <v>125</v>
      </c>
      <c r="E41" s="7">
        <f>VLOOKUP(C41,'CIO Import'!A:C,3,FALSE)</f>
        <v>0.69159999999999999</v>
      </c>
      <c r="F41" s="7">
        <v>0.34439999999999998</v>
      </c>
      <c r="G41" s="7">
        <v>0.34870000000000001</v>
      </c>
      <c r="H41" s="7">
        <v>0.3664</v>
      </c>
      <c r="I41" s="7">
        <v>0.41539999999999999</v>
      </c>
      <c r="J41" s="7">
        <v>0.48259999999999997</v>
      </c>
      <c r="K41" s="7">
        <v>0.50629999999999997</v>
      </c>
      <c r="L41" s="7">
        <v>0.50949999999999995</v>
      </c>
      <c r="M41" s="7">
        <v>0.6845</v>
      </c>
    </row>
    <row r="42" spans="1:13" s="11" customFormat="1" x14ac:dyDescent="0.25">
      <c r="A42" s="319"/>
      <c r="B42" s="319"/>
      <c r="C42" s="11" t="s">
        <v>43</v>
      </c>
      <c r="D42" s="11" t="s">
        <v>125</v>
      </c>
      <c r="E42" s="11">
        <f>VLOOKUP(C42,'CIO Import'!A:C,3,FALSE)</f>
        <v>3.15E-2</v>
      </c>
      <c r="F42" s="11">
        <v>3.15E-2</v>
      </c>
      <c r="G42" s="11">
        <v>3.15E-2</v>
      </c>
      <c r="H42" s="11">
        <v>3.15E-2</v>
      </c>
      <c r="I42" s="11">
        <v>3.15E-2</v>
      </c>
      <c r="J42" s="11">
        <v>3.1399999999999997E-2</v>
      </c>
      <c r="K42" s="11">
        <v>3.1399999999999997E-2</v>
      </c>
      <c r="L42" s="11">
        <v>3.1399999999999997E-2</v>
      </c>
      <c r="M42" s="11">
        <v>3.1399999999999997E-2</v>
      </c>
    </row>
    <row r="43" spans="1:13" s="7" customFormat="1" x14ac:dyDescent="0.25">
      <c r="A43" s="319"/>
      <c r="B43" s="319"/>
      <c r="C43" s="7" t="s">
        <v>44</v>
      </c>
      <c r="D43" s="7" t="s">
        <v>125</v>
      </c>
      <c r="E43" s="7">
        <f>VLOOKUP(C43,'CIO Import'!A:C,3,FALSE)</f>
        <v>0.96850000000000003</v>
      </c>
      <c r="F43" s="7">
        <v>0.96850000000000003</v>
      </c>
      <c r="G43" s="7">
        <v>0.96850000000000003</v>
      </c>
      <c r="H43" s="7">
        <v>0.96850000000000003</v>
      </c>
      <c r="I43" s="7">
        <v>0.96850000000000003</v>
      </c>
      <c r="J43" s="7">
        <v>0.96860000000000002</v>
      </c>
      <c r="K43" s="7">
        <v>0.96860000000000002</v>
      </c>
      <c r="L43" s="7">
        <v>0.96860000000000002</v>
      </c>
      <c r="M43" s="7">
        <v>0.96860000000000002</v>
      </c>
    </row>
    <row r="44" spans="1:13" s="11" customFormat="1" x14ac:dyDescent="0.25">
      <c r="A44" s="319"/>
      <c r="B44" s="324" t="s">
        <v>45</v>
      </c>
      <c r="C44" s="11" t="s">
        <v>46</v>
      </c>
      <c r="D44" s="11" t="s">
        <v>125</v>
      </c>
      <c r="E44" s="11">
        <f>VLOOKUP(C44,'CIO Import'!A:C,3,FALSE)</f>
        <v>6.8999999999999999E-3</v>
      </c>
      <c r="F44" s="11">
        <v>0.2228</v>
      </c>
      <c r="G44" s="11">
        <v>7.4899999999999994E-2</v>
      </c>
      <c r="H44" s="11">
        <v>5.1799999999999999E-2</v>
      </c>
      <c r="I44" s="11">
        <v>4.1500000000000002E-2</v>
      </c>
      <c r="J44" s="11">
        <v>3.4299999999999997E-2</v>
      </c>
      <c r="K44" s="11">
        <v>3.49E-2</v>
      </c>
      <c r="L44" s="11">
        <v>1.95E-2</v>
      </c>
      <c r="M44" s="11">
        <v>8.6999999999999994E-3</v>
      </c>
    </row>
    <row r="45" spans="1:13" s="7" customFormat="1" x14ac:dyDescent="0.25">
      <c r="A45" s="319"/>
      <c r="B45" s="324"/>
      <c r="C45" s="7" t="s">
        <v>47</v>
      </c>
      <c r="D45" s="7" t="s">
        <v>125</v>
      </c>
      <c r="E45" s="7">
        <f>VLOOKUP(C45,'CIO Import'!A:C,3,FALSE)</f>
        <v>1.46E-2</v>
      </c>
      <c r="F45" s="7">
        <v>6.6699999999999995E-2</v>
      </c>
      <c r="G45" s="7">
        <v>6.8699999999999997E-2</v>
      </c>
      <c r="H45" s="7">
        <v>7.1900000000000006E-2</v>
      </c>
      <c r="I45" s="7">
        <v>6.0400000000000002E-2</v>
      </c>
      <c r="J45" s="7">
        <v>6.3899999999999998E-2</v>
      </c>
      <c r="K45" s="7">
        <v>5.2600000000000001E-2</v>
      </c>
      <c r="L45" s="7">
        <v>3.44E-2</v>
      </c>
      <c r="M45" s="7">
        <v>2.0400000000000001E-2</v>
      </c>
    </row>
    <row r="46" spans="1:13" s="11" customFormat="1" x14ac:dyDescent="0.25">
      <c r="A46" s="319"/>
      <c r="B46" s="324"/>
      <c r="C46" s="11" t="s">
        <v>48</v>
      </c>
      <c r="D46" s="11" t="s">
        <v>125</v>
      </c>
      <c r="E46" s="11">
        <f>VLOOKUP(C46,'CIO Import'!A:C,3,FALSE)</f>
        <v>0.13370000000000001</v>
      </c>
      <c r="F46" s="11">
        <v>0.13500000000000001</v>
      </c>
      <c r="G46" s="11">
        <v>0.1394</v>
      </c>
      <c r="H46" s="11">
        <v>0.17960000000000001</v>
      </c>
      <c r="I46" s="11">
        <v>0.21809999999999999</v>
      </c>
      <c r="J46" s="11">
        <v>0.2359</v>
      </c>
      <c r="K46" s="11">
        <v>0.16650000000000001</v>
      </c>
      <c r="L46" s="11">
        <v>0.1699</v>
      </c>
      <c r="M46" s="11">
        <v>0.14080000000000001</v>
      </c>
    </row>
    <row r="47" spans="1:13" s="7" customFormat="1" x14ac:dyDescent="0.25">
      <c r="A47" s="319"/>
      <c r="B47" s="324"/>
      <c r="C47" s="7" t="s">
        <v>49</v>
      </c>
      <c r="D47" s="7" t="s">
        <v>125</v>
      </c>
      <c r="E47" s="7">
        <f>VLOOKUP(C47,'CIO Import'!A:C,3,FALSE)</f>
        <v>9.7000000000000003E-3</v>
      </c>
      <c r="F47" s="7">
        <v>2.9600000000000001E-2</v>
      </c>
      <c r="G47" s="7">
        <v>3.09E-2</v>
      </c>
      <c r="H47" s="7">
        <v>2.46E-2</v>
      </c>
      <c r="I47" s="7">
        <v>1.7999999999999999E-2</v>
      </c>
      <c r="J47" s="7">
        <v>1.46E-2</v>
      </c>
      <c r="K47" s="7">
        <v>1.1299999999999999E-2</v>
      </c>
      <c r="L47" s="7">
        <v>1.3100000000000001E-2</v>
      </c>
      <c r="M47" s="7">
        <v>1.0200000000000001E-2</v>
      </c>
    </row>
    <row r="48" spans="1:13" s="13" customFormat="1" ht="7.5" customHeight="1" x14ac:dyDescent="0.25">
      <c r="A48" s="12"/>
      <c r="B48" s="12"/>
    </row>
    <row r="49" spans="1:13" s="11" customFormat="1" x14ac:dyDescent="0.25">
      <c r="A49" s="319" t="s">
        <v>57</v>
      </c>
      <c r="B49" s="319" t="s">
        <v>45</v>
      </c>
      <c r="C49" s="11" t="s">
        <v>51</v>
      </c>
      <c r="D49" s="11" t="s">
        <v>125</v>
      </c>
      <c r="E49" s="11">
        <f>VLOOKUP(C49,'CFO Import'!A:C,3,FALSE)</f>
        <v>0.88429999999999997</v>
      </c>
      <c r="F49" s="11">
        <v>0.19589999999999999</v>
      </c>
      <c r="G49" s="11">
        <v>0.76229999999999998</v>
      </c>
      <c r="H49" s="11">
        <v>0.82740000000000002</v>
      </c>
      <c r="I49" s="11">
        <v>0.84350000000000003</v>
      </c>
      <c r="J49" s="11">
        <v>0.83489999999999998</v>
      </c>
      <c r="K49" s="11">
        <v>0.83179999999999998</v>
      </c>
      <c r="L49" s="11">
        <v>0.879</v>
      </c>
      <c r="M49" s="11">
        <v>0.88829999999999998</v>
      </c>
    </row>
    <row r="50" spans="1:13" s="7" customFormat="1" x14ac:dyDescent="0.25">
      <c r="A50" s="319"/>
      <c r="B50" s="319"/>
      <c r="C50" s="7" t="s">
        <v>52</v>
      </c>
      <c r="D50" s="7" t="s">
        <v>125</v>
      </c>
      <c r="E50" s="7">
        <f>VLOOKUP(C50,'CFO Import'!A:C,3,FALSE)</f>
        <v>0</v>
      </c>
      <c r="F50" s="7">
        <v>0.44769999999999999</v>
      </c>
      <c r="G50" s="7">
        <v>5.45E-2</v>
      </c>
      <c r="H50" s="7">
        <v>1.72E-2</v>
      </c>
      <c r="I50" s="7">
        <v>1.0999999999999999E-2</v>
      </c>
      <c r="J50" s="7">
        <v>0</v>
      </c>
      <c r="K50" s="7">
        <v>0</v>
      </c>
      <c r="L50" s="7">
        <v>0</v>
      </c>
      <c r="M50" s="7">
        <v>0</v>
      </c>
    </row>
    <row r="51" spans="1:13" s="11" customFormat="1" x14ac:dyDescent="0.25">
      <c r="A51" s="319"/>
      <c r="B51" s="319"/>
      <c r="C51" s="11" t="s">
        <v>53</v>
      </c>
      <c r="D51" s="11" t="s">
        <v>125</v>
      </c>
      <c r="E51" s="11">
        <f>VLOOKUP(C51,'CFO Import'!A:C,3,FALSE)</f>
        <v>0.1157</v>
      </c>
      <c r="F51" s="11">
        <v>0.35649999999999998</v>
      </c>
      <c r="G51" s="11">
        <v>0.1832</v>
      </c>
      <c r="H51" s="11">
        <v>0.15540000000000001</v>
      </c>
      <c r="I51" s="11">
        <v>0.14549999999999999</v>
      </c>
      <c r="J51" s="11">
        <v>0.1651</v>
      </c>
      <c r="K51" s="11">
        <v>0.16819999999999999</v>
      </c>
      <c r="L51" s="11">
        <v>0.121</v>
      </c>
      <c r="M51" s="11">
        <v>0.11169999999999999</v>
      </c>
    </row>
    <row r="52" spans="1:13" s="7" customFormat="1" x14ac:dyDescent="0.25">
      <c r="A52" s="319"/>
      <c r="B52" s="319"/>
      <c r="C52" s="7" t="s">
        <v>54</v>
      </c>
      <c r="D52" s="7" t="s">
        <v>125</v>
      </c>
      <c r="E52" s="7">
        <f>VLOOKUP(C52,'CFO Import'!A:C,3,FALSE)</f>
        <v>0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 s="7">
        <v>0</v>
      </c>
      <c r="M52" s="7">
        <v>0</v>
      </c>
    </row>
    <row r="53" spans="1:13" s="10" customFormat="1" x14ac:dyDescent="0.25">
      <c r="A53" s="319"/>
      <c r="B53" s="319"/>
      <c r="C53" s="10" t="s">
        <v>55</v>
      </c>
      <c r="D53" s="10" t="s">
        <v>129</v>
      </c>
      <c r="E53" s="10">
        <f>VALUE(LEFT(VLOOKUP(C53,'CFO Import'!A:C,3,FALSE),LEN(VLOOKUP(C53,'CFO Import'!A:C,3,FALSE))-LEN(D53)))</f>
        <v>232267529.99000001</v>
      </c>
      <c r="F53" s="10">
        <v>7465859.7400000002</v>
      </c>
      <c r="G53" s="10">
        <v>70957146.659999996</v>
      </c>
      <c r="H53" s="10">
        <v>112036809.84</v>
      </c>
      <c r="I53" s="10">
        <v>122235153.95</v>
      </c>
      <c r="J53" s="10">
        <v>156584535.55000001</v>
      </c>
      <c r="K53" s="10">
        <v>111879693.58</v>
      </c>
      <c r="L53" s="10">
        <v>151998245.87</v>
      </c>
      <c r="M53" s="10">
        <v>240657692.41999999</v>
      </c>
    </row>
    <row r="54" spans="1:13" s="7" customFormat="1" x14ac:dyDescent="0.25">
      <c r="A54" s="319"/>
      <c r="B54" s="319"/>
      <c r="C54" s="7" t="s">
        <v>56</v>
      </c>
      <c r="D54" s="7" t="s">
        <v>125</v>
      </c>
      <c r="E54" s="7">
        <f>VLOOKUP(C54,'CFO Import'!A:C,3,FALSE)</f>
        <v>0.28320000000000001</v>
      </c>
      <c r="F54" s="7">
        <v>1</v>
      </c>
      <c r="G54" s="7">
        <v>0.75219999999999998</v>
      </c>
      <c r="H54" s="7">
        <v>0.53690000000000004</v>
      </c>
      <c r="I54" s="7">
        <v>0.52929999999999999</v>
      </c>
      <c r="J54" s="7">
        <v>0.43690000000000001</v>
      </c>
      <c r="K54" s="7">
        <v>0.54510000000000003</v>
      </c>
      <c r="L54" s="7">
        <v>0.41020000000000001</v>
      </c>
      <c r="M54" s="7">
        <v>0.28449999999999998</v>
      </c>
    </row>
    <row r="55" spans="1:13" s="13" customFormat="1" ht="7.5" customHeight="1" x14ac:dyDescent="0.25">
      <c r="A55" s="12"/>
      <c r="B55" s="12"/>
    </row>
    <row r="56" spans="1:13" s="11" customFormat="1" x14ac:dyDescent="0.25">
      <c r="A56" s="319" t="s">
        <v>74</v>
      </c>
      <c r="B56" s="324" t="s">
        <v>5</v>
      </c>
      <c r="C56" s="11" t="s">
        <v>58</v>
      </c>
      <c r="D56" s="11" t="s">
        <v>125</v>
      </c>
      <c r="E56" s="11">
        <f>VLOOKUP(C56,'CMO Import'!A:C,3,FALSE)</f>
        <v>0.97</v>
      </c>
      <c r="F56" s="11">
        <v>0.83240000000000003</v>
      </c>
      <c r="G56" s="11">
        <v>0.84799999999999998</v>
      </c>
      <c r="H56" s="11">
        <v>0.85370000000000001</v>
      </c>
      <c r="I56" s="11">
        <v>0.87919999999999998</v>
      </c>
      <c r="J56" s="11">
        <v>0.92669999999999997</v>
      </c>
      <c r="K56" s="11">
        <v>0.96140000000000003</v>
      </c>
      <c r="L56" s="11">
        <v>0.97</v>
      </c>
      <c r="M56" s="11">
        <v>0.97</v>
      </c>
    </row>
    <row r="57" spans="1:13" s="7" customFormat="1" x14ac:dyDescent="0.25">
      <c r="A57" s="319"/>
      <c r="B57" s="324"/>
      <c r="C57" s="7" t="s">
        <v>59</v>
      </c>
      <c r="D57" s="7" t="s">
        <v>125</v>
      </c>
      <c r="E57" s="7">
        <f>VLOOKUP(C57,'CMO Import'!A:C,3,FALSE)</f>
        <v>0.40379999999999999</v>
      </c>
      <c r="F57" s="7">
        <v>4.6600000000000003E-2</v>
      </c>
      <c r="G57" s="7">
        <v>7.0999999999999994E-2</v>
      </c>
      <c r="H57" s="7">
        <v>9.5399999999999999E-2</v>
      </c>
      <c r="I57" s="7">
        <v>0.1394</v>
      </c>
      <c r="J57" s="7">
        <v>0.22520000000000001</v>
      </c>
      <c r="K57" s="7">
        <v>0.2311</v>
      </c>
      <c r="L57" s="7">
        <v>0.2321</v>
      </c>
      <c r="M57" s="7">
        <v>0.40189999999999998</v>
      </c>
    </row>
    <row r="58" spans="1:13" s="11" customFormat="1" x14ac:dyDescent="0.25">
      <c r="A58" s="319"/>
      <c r="B58" s="324"/>
      <c r="C58" s="11" t="s">
        <v>60</v>
      </c>
      <c r="D58" s="11" t="s">
        <v>125</v>
      </c>
      <c r="E58" s="11">
        <f>VLOOKUP(C58,'CMO Import'!A:C,3,FALSE)</f>
        <v>0.51100000000000001</v>
      </c>
      <c r="F58" s="11">
        <v>2.0199999999999999E-2</v>
      </c>
      <c r="G58" s="11">
        <v>1.7600000000000001E-2</v>
      </c>
      <c r="H58" s="11">
        <v>2.3900000000000001E-2</v>
      </c>
      <c r="I58" s="11">
        <v>5.8099999999999999E-2</v>
      </c>
      <c r="J58" s="11">
        <v>7.1999999999999995E-2</v>
      </c>
      <c r="K58" s="11">
        <v>0.1303</v>
      </c>
      <c r="L58" s="11">
        <v>0.22289999999999999</v>
      </c>
      <c r="M58" s="11">
        <v>0.47839999999999999</v>
      </c>
    </row>
    <row r="59" spans="1:13" s="7" customFormat="1" x14ac:dyDescent="0.25">
      <c r="A59" s="319"/>
      <c r="B59" s="324" t="s">
        <v>6</v>
      </c>
      <c r="C59" s="7" t="s">
        <v>61</v>
      </c>
      <c r="D59" s="7" t="s">
        <v>125</v>
      </c>
      <c r="E59" s="7">
        <f>VLOOKUP(C59,'CMO Import'!A:C,3,FALSE)</f>
        <v>0.122</v>
      </c>
      <c r="F59" s="7">
        <v>0.79600000000000004</v>
      </c>
      <c r="G59" s="7">
        <v>0.63980000000000004</v>
      </c>
      <c r="H59" s="7">
        <v>0.58509999999999995</v>
      </c>
      <c r="I59" s="7">
        <v>0.42920000000000003</v>
      </c>
      <c r="J59" s="7">
        <v>0.55069999999999997</v>
      </c>
      <c r="K59" s="7">
        <v>0.54690000000000005</v>
      </c>
      <c r="L59" s="7">
        <v>0.40050000000000002</v>
      </c>
      <c r="M59" s="7">
        <v>0.2205</v>
      </c>
    </row>
    <row r="60" spans="1:13" s="11" customFormat="1" x14ac:dyDescent="0.25">
      <c r="A60" s="319"/>
      <c r="B60" s="324"/>
      <c r="C60" s="11" t="s">
        <v>62</v>
      </c>
      <c r="D60" s="11" t="s">
        <v>125</v>
      </c>
      <c r="E60" s="11">
        <f>VLOOKUP(C60,'CMO Import'!A:C,3,FALSE)</f>
        <v>0.5585</v>
      </c>
      <c r="F60" s="11">
        <v>0.63729999999999998</v>
      </c>
      <c r="G60" s="11">
        <v>0.35809999999999997</v>
      </c>
      <c r="H60" s="11">
        <v>0.64100000000000001</v>
      </c>
      <c r="I60" s="11">
        <v>1.9200999999999999</v>
      </c>
      <c r="J60" s="11">
        <v>0.24840000000000001</v>
      </c>
      <c r="K60" s="11">
        <v>0.73640000000000005</v>
      </c>
      <c r="L60" s="11">
        <v>0.27979999999999999</v>
      </c>
      <c r="M60" s="11">
        <v>0.28860000000000002</v>
      </c>
    </row>
    <row r="61" spans="1:13" s="7" customFormat="1" x14ac:dyDescent="0.25">
      <c r="A61" s="319"/>
      <c r="B61" s="324"/>
      <c r="C61" s="7" t="s">
        <v>63</v>
      </c>
      <c r="D61" s="7" t="s">
        <v>125</v>
      </c>
      <c r="E61" s="7">
        <f>VLOOKUP(C61,'CMO Import'!A:C,3,FALSE)</f>
        <v>0.98129999999999995</v>
      </c>
      <c r="F61" s="7">
        <v>0.84</v>
      </c>
      <c r="G61" s="7">
        <v>0.81</v>
      </c>
      <c r="H61" s="7">
        <v>0.82230000000000003</v>
      </c>
      <c r="I61" s="7">
        <v>0.93</v>
      </c>
      <c r="J61" s="7">
        <v>0.97350000000000003</v>
      </c>
      <c r="K61" s="7">
        <v>0.97860000000000003</v>
      </c>
      <c r="L61" s="7">
        <v>0.98009999999999997</v>
      </c>
      <c r="M61" s="7">
        <v>0.98099999999999998</v>
      </c>
    </row>
    <row r="62" spans="1:13" s="11" customFormat="1" x14ac:dyDescent="0.25">
      <c r="A62" s="319"/>
      <c r="B62" s="324" t="s">
        <v>27</v>
      </c>
      <c r="C62" s="11" t="s">
        <v>64</v>
      </c>
      <c r="D62" s="11" t="s">
        <v>125</v>
      </c>
      <c r="E62" s="11">
        <f>VLOOKUP(C62,'CMO Import'!A:C,3,FALSE)</f>
        <v>0.99170000000000003</v>
      </c>
      <c r="F62" s="11">
        <v>0.72950000000000004</v>
      </c>
      <c r="G62" s="11">
        <v>0.69379999999999997</v>
      </c>
      <c r="H62" s="11">
        <v>0.73060000000000003</v>
      </c>
      <c r="I62" s="11">
        <v>0.81530000000000002</v>
      </c>
      <c r="J62" s="11">
        <v>0.95860000000000001</v>
      </c>
      <c r="K62" s="11">
        <v>0.98540000000000005</v>
      </c>
      <c r="L62" s="11">
        <v>0.98970000000000002</v>
      </c>
      <c r="M62" s="11">
        <v>0.99170000000000003</v>
      </c>
    </row>
    <row r="63" spans="1:13" s="7" customFormat="1" x14ac:dyDescent="0.25">
      <c r="A63" s="319"/>
      <c r="B63" s="324"/>
      <c r="C63" s="7" t="s">
        <v>65</v>
      </c>
      <c r="D63" s="7" t="s">
        <v>125</v>
      </c>
      <c r="E63" s="7">
        <f>VLOOKUP(C63,'CMO Import'!A:C,3,FALSE)</f>
        <v>0.99170000000000003</v>
      </c>
      <c r="F63" s="7">
        <v>0.6915</v>
      </c>
      <c r="G63" s="7">
        <v>0.65759999999999996</v>
      </c>
      <c r="H63" s="7">
        <v>0.70389999999999997</v>
      </c>
      <c r="I63" s="7">
        <v>0.80089999999999995</v>
      </c>
      <c r="J63" s="7">
        <v>0.95709999999999995</v>
      </c>
      <c r="K63" s="7">
        <v>0.98540000000000005</v>
      </c>
      <c r="L63" s="7">
        <v>0.98970000000000002</v>
      </c>
      <c r="M63" s="7">
        <v>0.99170000000000003</v>
      </c>
    </row>
    <row r="64" spans="1:13" s="11" customFormat="1" x14ac:dyDescent="0.25">
      <c r="A64" s="319"/>
      <c r="B64" s="324"/>
      <c r="C64" s="11" t="s">
        <v>66</v>
      </c>
      <c r="D64" s="11" t="s">
        <v>125</v>
      </c>
      <c r="E64" s="11">
        <f>VLOOKUP(C64,'CMO Import'!A:C,3,FALSE)</f>
        <v>9.9000000000000008E-3</v>
      </c>
      <c r="F64" s="11">
        <v>9.9000000000000008E-3</v>
      </c>
      <c r="G64" s="11">
        <v>9.9000000000000008E-3</v>
      </c>
      <c r="H64" s="11">
        <v>9.9000000000000008E-3</v>
      </c>
      <c r="I64" s="11">
        <v>1.03E-2</v>
      </c>
      <c r="J64" s="11">
        <v>9.7999999999999997E-3</v>
      </c>
      <c r="K64" s="11">
        <v>9.9000000000000008E-3</v>
      </c>
      <c r="L64" s="11">
        <v>9.7999999999999997E-3</v>
      </c>
      <c r="M64" s="11">
        <v>9.7999999999999997E-3</v>
      </c>
    </row>
    <row r="65" spans="1:13" s="7" customFormat="1" x14ac:dyDescent="0.25">
      <c r="A65" s="319"/>
      <c r="B65" s="324"/>
      <c r="C65" s="7" t="s">
        <v>67</v>
      </c>
      <c r="D65" s="7" t="s">
        <v>125</v>
      </c>
      <c r="E65" s="7">
        <f>VLOOKUP(C65,'CMO Import'!A:C,3,FALSE)</f>
        <v>0.99990000000000001</v>
      </c>
      <c r="F65" s="7">
        <v>0.99990000000000001</v>
      </c>
      <c r="G65" s="7">
        <v>0.99990000000000001</v>
      </c>
      <c r="H65" s="7">
        <v>0.99990000000000001</v>
      </c>
      <c r="I65" s="7">
        <v>0.99990000000000001</v>
      </c>
      <c r="J65" s="7">
        <v>0.99990000000000001</v>
      </c>
      <c r="K65" s="7">
        <v>0.99990000000000001</v>
      </c>
      <c r="L65" s="7">
        <v>0.99990000000000001</v>
      </c>
      <c r="M65" s="7">
        <v>0.99990000000000001</v>
      </c>
    </row>
    <row r="66" spans="1:13" s="11" customFormat="1" x14ac:dyDescent="0.25">
      <c r="A66" s="319"/>
      <c r="B66" s="319" t="s">
        <v>45</v>
      </c>
      <c r="C66" s="11" t="s">
        <v>68</v>
      </c>
      <c r="D66" s="11" t="s">
        <v>125</v>
      </c>
      <c r="E66" s="11">
        <f>VLOOKUP(C66,'CMO Import'!A:C,3,FALSE)</f>
        <v>2.2222</v>
      </c>
      <c r="F66" s="11">
        <v>0.49330000000000002</v>
      </c>
      <c r="G66" s="11">
        <v>0.31559999999999999</v>
      </c>
      <c r="H66" s="11">
        <v>0.31559999999999999</v>
      </c>
      <c r="I66" s="11">
        <v>0.66669999999999996</v>
      </c>
      <c r="J66" s="11">
        <v>1.7778</v>
      </c>
      <c r="K66" s="11">
        <v>4.4443999999999999</v>
      </c>
      <c r="L66" s="11">
        <v>3.3332999999999999</v>
      </c>
      <c r="M66" s="11">
        <v>2.2222</v>
      </c>
    </row>
    <row r="67" spans="1:13" s="7" customFormat="1" x14ac:dyDescent="0.25">
      <c r="A67" s="319"/>
      <c r="B67" s="319"/>
      <c r="C67" s="7" t="s">
        <v>69</v>
      </c>
      <c r="D67" s="7" t="s">
        <v>125</v>
      </c>
      <c r="E67" s="7">
        <f>VLOOKUP(C67,'CMO Import'!A:C,3,FALSE)</f>
        <v>0.96299999999999997</v>
      </c>
      <c r="F67" s="7">
        <v>0.33329999999999999</v>
      </c>
      <c r="G67" s="7">
        <v>0.1852</v>
      </c>
      <c r="H67" s="7">
        <v>0.1852</v>
      </c>
      <c r="I67" s="7">
        <v>0.1852</v>
      </c>
      <c r="J67" s="7">
        <v>0.1852</v>
      </c>
      <c r="K67" s="7">
        <v>0.1852</v>
      </c>
      <c r="L67" s="7">
        <v>0.1852</v>
      </c>
      <c r="M67" s="7">
        <v>0.92589999999999995</v>
      </c>
    </row>
    <row r="68" spans="1:13" s="11" customFormat="1" x14ac:dyDescent="0.25">
      <c r="A68" s="319"/>
      <c r="B68" s="319"/>
      <c r="C68" s="11" t="s">
        <v>70</v>
      </c>
      <c r="D68" s="11" t="s">
        <v>125</v>
      </c>
      <c r="E68" s="11">
        <f>VLOOKUP(C68,'CMO Import'!A:C,3,FALSE)</f>
        <v>1</v>
      </c>
      <c r="F68" s="11">
        <v>0.26669999999999999</v>
      </c>
      <c r="G68" s="11">
        <v>0.1111</v>
      </c>
      <c r="H68" s="11">
        <v>0.1111</v>
      </c>
      <c r="I68" s="11">
        <v>0.1111</v>
      </c>
      <c r="J68" s="11">
        <v>0.33329999999999999</v>
      </c>
      <c r="K68" s="11">
        <v>1</v>
      </c>
      <c r="L68" s="11">
        <v>1</v>
      </c>
      <c r="M68" s="11">
        <v>1.1111</v>
      </c>
    </row>
    <row r="69" spans="1:13" s="6" customFormat="1" x14ac:dyDescent="0.25">
      <c r="A69" s="319"/>
      <c r="B69" s="319"/>
      <c r="C69" s="6" t="s">
        <v>71</v>
      </c>
      <c r="D69" s="6" t="s">
        <v>130</v>
      </c>
      <c r="E69" s="6">
        <f>VLOOKUP(C69,'CMO Import'!A:C,3,FALSE)</f>
        <v>2.8</v>
      </c>
      <c r="F69" s="6">
        <v>0.75</v>
      </c>
      <c r="G69" s="6">
        <v>0.39</v>
      </c>
      <c r="H69" s="6">
        <v>0.42</v>
      </c>
      <c r="I69" s="6">
        <v>0.44</v>
      </c>
      <c r="J69" s="6">
        <v>0.54</v>
      </c>
      <c r="K69" s="6">
        <v>0.55000000000000004</v>
      </c>
      <c r="L69" s="6">
        <v>0.54</v>
      </c>
      <c r="M69" s="6">
        <v>2.75</v>
      </c>
    </row>
    <row r="70" spans="1:13" s="10" customFormat="1" x14ac:dyDescent="0.25">
      <c r="A70" s="319"/>
      <c r="B70" s="319"/>
      <c r="C70" s="10" t="s">
        <v>72</v>
      </c>
      <c r="D70" s="10" t="s">
        <v>130</v>
      </c>
      <c r="E70" s="10">
        <f>VLOOKUP(C70,'CMO Import'!A:C,3,FALSE)</f>
        <v>4</v>
      </c>
      <c r="F70" s="10">
        <v>1.1000000000000001</v>
      </c>
      <c r="G70" s="10">
        <v>0.56000000000000005</v>
      </c>
      <c r="H70" s="10">
        <v>0.68</v>
      </c>
      <c r="I70" s="10">
        <v>1.56</v>
      </c>
      <c r="J70" s="10">
        <v>4</v>
      </c>
      <c r="K70" s="10">
        <v>4</v>
      </c>
      <c r="L70" s="10">
        <v>4</v>
      </c>
      <c r="M70" s="10">
        <v>4</v>
      </c>
    </row>
    <row r="71" spans="1:13" s="6" customFormat="1" x14ac:dyDescent="0.25">
      <c r="A71" s="319"/>
      <c r="B71" s="319"/>
      <c r="C71" s="6" t="s">
        <v>73</v>
      </c>
      <c r="D71" s="6" t="s">
        <v>130</v>
      </c>
      <c r="E71" s="6">
        <f>VLOOKUP(C71,'CMO Import'!A:C,3,FALSE)</f>
        <v>2.92</v>
      </c>
      <c r="F71" s="6">
        <v>0.54</v>
      </c>
      <c r="G71" s="6">
        <v>0.19</v>
      </c>
      <c r="H71" s="6">
        <v>0.23</v>
      </c>
      <c r="I71" s="6">
        <v>0.25</v>
      </c>
      <c r="J71" s="6">
        <v>0.95</v>
      </c>
      <c r="K71" s="6">
        <v>2.93</v>
      </c>
      <c r="L71" s="6">
        <v>2.92</v>
      </c>
      <c r="M71" s="6">
        <v>3.26</v>
      </c>
    </row>
    <row r="72" spans="1:13" s="13" customFormat="1" ht="7.5" customHeight="1" x14ac:dyDescent="0.25">
      <c r="A72" s="12"/>
      <c r="B72" s="12"/>
    </row>
    <row r="73" spans="1:13" s="11" customFormat="1" x14ac:dyDescent="0.25">
      <c r="A73" s="319" t="s">
        <v>121</v>
      </c>
      <c r="B73" s="324" t="s">
        <v>5</v>
      </c>
      <c r="C73" s="11" t="s">
        <v>75</v>
      </c>
      <c r="D73" s="11" t="s">
        <v>125</v>
      </c>
      <c r="E73" s="11">
        <f>VLOOKUP(C73,'COO Import'!A:C,3,FALSE)</f>
        <v>0.95130000000000003</v>
      </c>
      <c r="F73" s="11">
        <v>0.30769999999999997</v>
      </c>
      <c r="G73" s="11">
        <v>0.70479999999999998</v>
      </c>
      <c r="H73" s="11">
        <v>0.87450000000000006</v>
      </c>
      <c r="I73" s="11">
        <v>0.95040000000000002</v>
      </c>
      <c r="J73" s="11">
        <v>0.95550000000000002</v>
      </c>
      <c r="K73" s="11">
        <v>0.96289999999999998</v>
      </c>
      <c r="L73" s="11">
        <v>0.9587</v>
      </c>
      <c r="M73" s="11">
        <v>0.95340000000000003</v>
      </c>
    </row>
    <row r="74" spans="1:13" s="7" customFormat="1" x14ac:dyDescent="0.25">
      <c r="A74" s="319"/>
      <c r="B74" s="324"/>
      <c r="C74" s="7" t="s">
        <v>76</v>
      </c>
      <c r="D74" s="7" t="s">
        <v>125</v>
      </c>
      <c r="E74" s="7">
        <f>VLOOKUP(C74,'COO Import'!A:C,3,FALSE)</f>
        <v>0.95689999999999997</v>
      </c>
      <c r="F74" s="7">
        <v>0.96089999999999998</v>
      </c>
      <c r="G74" s="7">
        <v>0.93089999999999995</v>
      </c>
      <c r="H74" s="7">
        <v>0.94469999999999998</v>
      </c>
      <c r="I74" s="7">
        <v>0.94950000000000001</v>
      </c>
      <c r="J74" s="7">
        <v>0.96379999999999999</v>
      </c>
      <c r="K74" s="7">
        <v>0.96409999999999996</v>
      </c>
      <c r="L74" s="7">
        <v>0.96130000000000004</v>
      </c>
      <c r="M74" s="7">
        <v>0.9577</v>
      </c>
    </row>
    <row r="75" spans="1:13" s="11" customFormat="1" x14ac:dyDescent="0.25">
      <c r="A75" s="319"/>
      <c r="B75" s="324"/>
      <c r="C75" s="11" t="s">
        <v>77</v>
      </c>
      <c r="D75" s="11" t="s">
        <v>125</v>
      </c>
      <c r="E75" s="11">
        <f>VLOOKUP(C75,'COO Import'!A:C,3,FALSE)</f>
        <v>0.78969999999999996</v>
      </c>
      <c r="F75" s="11">
        <v>0.79659999999999997</v>
      </c>
      <c r="G75" s="11">
        <v>0.86550000000000005</v>
      </c>
      <c r="H75" s="11">
        <v>0.67</v>
      </c>
      <c r="I75" s="11">
        <v>0.92110000000000003</v>
      </c>
      <c r="J75" s="11">
        <v>0.96479999999999999</v>
      </c>
      <c r="K75" s="11">
        <v>0.94740000000000002</v>
      </c>
      <c r="L75" s="11">
        <v>0.97850000000000004</v>
      </c>
      <c r="M75" s="11">
        <v>0.95879999999999999</v>
      </c>
    </row>
    <row r="76" spans="1:13" s="7" customFormat="1" x14ac:dyDescent="0.25">
      <c r="A76" s="319"/>
      <c r="B76" s="324"/>
      <c r="C76" s="7" t="s">
        <v>78</v>
      </c>
      <c r="D76" s="7" t="s">
        <v>125</v>
      </c>
      <c r="E76" s="7">
        <f>VLOOKUP(C76,'COO Import'!A:C,3,FALSE)</f>
        <v>0.63070000000000004</v>
      </c>
      <c r="F76" s="7">
        <v>0.1633</v>
      </c>
      <c r="G76" s="7">
        <v>0.2429</v>
      </c>
      <c r="H76" s="7">
        <v>0.30769999999999997</v>
      </c>
      <c r="I76" s="7">
        <v>0.88170000000000004</v>
      </c>
      <c r="J76" s="7">
        <v>0.69110000000000005</v>
      </c>
      <c r="K76" s="7">
        <v>0.73550000000000004</v>
      </c>
      <c r="L76" s="7">
        <v>0.9788</v>
      </c>
      <c r="M76" s="7">
        <v>0.51160000000000005</v>
      </c>
    </row>
    <row r="77" spans="1:13" s="11" customFormat="1" x14ac:dyDescent="0.25">
      <c r="A77" s="319"/>
      <c r="B77" s="324"/>
      <c r="C77" s="11" t="s">
        <v>79</v>
      </c>
      <c r="D77" s="11" t="s">
        <v>125</v>
      </c>
      <c r="E77" s="11">
        <f>VLOOKUP(C77,'COO Import'!A:C,3,FALSE)</f>
        <v>0.85350000000000004</v>
      </c>
      <c r="F77" s="11">
        <v>0.96089999999999998</v>
      </c>
      <c r="G77" s="11">
        <v>0.93089999999999995</v>
      </c>
      <c r="H77" s="11">
        <v>0.94469999999999998</v>
      </c>
      <c r="I77" s="11">
        <v>0.80210000000000004</v>
      </c>
      <c r="J77" s="11">
        <v>0.76380000000000003</v>
      </c>
      <c r="K77" s="11">
        <v>0.74660000000000004</v>
      </c>
      <c r="L77" s="11">
        <v>0.96130000000000004</v>
      </c>
      <c r="M77" s="11">
        <v>0.84299999999999997</v>
      </c>
    </row>
    <row r="78" spans="1:13" s="7" customFormat="1" x14ac:dyDescent="0.25">
      <c r="A78" s="319"/>
      <c r="B78" s="324"/>
      <c r="C78" s="7" t="s">
        <v>80</v>
      </c>
      <c r="D78" s="7" t="s">
        <v>125</v>
      </c>
      <c r="E78" s="7">
        <f>VLOOKUP(C78,'COO Import'!A:C,3,FALSE)</f>
        <v>0.622</v>
      </c>
      <c r="F78" s="7">
        <v>0.93830000000000002</v>
      </c>
      <c r="G78" s="7">
        <v>0.96389999999999998</v>
      </c>
      <c r="H78" s="7">
        <v>0.94279999999999997</v>
      </c>
      <c r="I78" s="7">
        <v>0.92190000000000005</v>
      </c>
      <c r="J78" s="7">
        <v>0.93059999999999998</v>
      </c>
      <c r="K78" s="7">
        <v>0.96919999999999995</v>
      </c>
      <c r="L78" s="7">
        <v>0.90239999999999998</v>
      </c>
      <c r="M78" s="7">
        <v>0.69499999999999995</v>
      </c>
    </row>
    <row r="79" spans="1:13" s="11" customFormat="1" x14ac:dyDescent="0.25">
      <c r="A79" s="319"/>
      <c r="B79" s="324" t="s">
        <v>6</v>
      </c>
      <c r="C79" s="11" t="s">
        <v>81</v>
      </c>
      <c r="D79" s="11" t="s">
        <v>125</v>
      </c>
      <c r="E79" s="11">
        <f>VLOOKUP(C79,'COO Import'!A:C,3,FALSE)</f>
        <v>4.3400000000000001E-2</v>
      </c>
      <c r="F79" s="11">
        <v>0.79779999999999995</v>
      </c>
      <c r="G79" s="11">
        <v>0.73839999999999995</v>
      </c>
      <c r="H79" s="11">
        <v>0.72509999999999997</v>
      </c>
      <c r="I79" s="11">
        <v>0.70609999999999995</v>
      </c>
      <c r="J79" s="11">
        <v>0.57740000000000002</v>
      </c>
      <c r="K79" s="11">
        <v>0.42109999999999997</v>
      </c>
      <c r="L79" s="11">
        <v>0.24110000000000001</v>
      </c>
      <c r="M79" s="11">
        <v>9.7900000000000001E-2</v>
      </c>
    </row>
    <row r="80" spans="1:13" s="7" customFormat="1" x14ac:dyDescent="0.25">
      <c r="A80" s="319"/>
      <c r="B80" s="324"/>
      <c r="C80" s="7" t="s">
        <v>82</v>
      </c>
      <c r="D80" s="7" t="s">
        <v>125</v>
      </c>
      <c r="E80" s="7">
        <f>VLOOKUP(C80,'COO Import'!A:C,3,FALSE)</f>
        <v>0.18229999999999999</v>
      </c>
      <c r="F80" s="7">
        <v>0.76129999999999998</v>
      </c>
      <c r="G80" s="7">
        <v>0.74929999999999997</v>
      </c>
      <c r="H80" s="7">
        <v>0.70069999999999999</v>
      </c>
      <c r="I80" s="7">
        <v>0.69930000000000003</v>
      </c>
      <c r="J80" s="7">
        <v>0.61050000000000004</v>
      </c>
      <c r="K80" s="7">
        <v>0.47670000000000001</v>
      </c>
      <c r="L80" s="7">
        <v>0.30549999999999999</v>
      </c>
      <c r="M80" s="7">
        <v>0.2036</v>
      </c>
    </row>
    <row r="81" spans="1:13" s="11" customFormat="1" x14ac:dyDescent="0.25">
      <c r="A81" s="319"/>
      <c r="B81" s="324"/>
      <c r="C81" s="11" t="s">
        <v>83</v>
      </c>
      <c r="D81" s="11" t="s">
        <v>125</v>
      </c>
      <c r="E81" s="11">
        <f>VLOOKUP(C81,'COO Import'!A:C,3,FALSE)</f>
        <v>0.66869999999999996</v>
      </c>
      <c r="F81" s="11">
        <v>0.82110000000000005</v>
      </c>
      <c r="G81" s="11">
        <v>0.79959999999999998</v>
      </c>
      <c r="H81" s="11">
        <v>0.74629999999999996</v>
      </c>
      <c r="I81" s="11">
        <v>0.75309999999999999</v>
      </c>
      <c r="J81" s="11">
        <v>0.80149999999999999</v>
      </c>
      <c r="K81" s="11">
        <v>0.76380000000000003</v>
      </c>
      <c r="L81" s="11">
        <v>0.72599999999999998</v>
      </c>
      <c r="M81" s="11">
        <v>0.72870000000000001</v>
      </c>
    </row>
    <row r="82" spans="1:13" s="7" customFormat="1" x14ac:dyDescent="0.25">
      <c r="A82" s="319"/>
      <c r="B82" s="324"/>
      <c r="C82" s="7" t="s">
        <v>84</v>
      </c>
      <c r="D82" s="7" t="s">
        <v>125</v>
      </c>
      <c r="E82" s="7">
        <f>VLOOKUP(C82,'COO Import'!A:C,3,FALSE)</f>
        <v>0.64829999999999999</v>
      </c>
      <c r="F82" s="7">
        <v>0.77500000000000002</v>
      </c>
      <c r="G82" s="7">
        <v>0.71579999999999999</v>
      </c>
      <c r="H82" s="7">
        <v>0.70879999999999999</v>
      </c>
      <c r="I82" s="7">
        <v>0.74270000000000003</v>
      </c>
      <c r="J82" s="7">
        <v>0.7</v>
      </c>
      <c r="K82" s="7">
        <v>0.74029999999999996</v>
      </c>
      <c r="L82" s="7">
        <v>0.73070000000000002</v>
      </c>
      <c r="M82" s="7">
        <v>0.69430000000000003</v>
      </c>
    </row>
    <row r="83" spans="1:13" s="11" customFormat="1" x14ac:dyDescent="0.25">
      <c r="A83" s="319"/>
      <c r="B83" s="324"/>
      <c r="C83" s="11" t="s">
        <v>85</v>
      </c>
      <c r="D83" s="11" t="s">
        <v>125</v>
      </c>
      <c r="E83" s="11">
        <f>VLOOKUP(C83,'COO Import'!A:C,3,FALSE)</f>
        <v>0.67349999999999999</v>
      </c>
      <c r="F83" s="11">
        <v>0.78059999999999996</v>
      </c>
      <c r="G83" s="11">
        <v>0.65720000000000001</v>
      </c>
      <c r="H83" s="11">
        <v>0.6179</v>
      </c>
      <c r="I83" s="11">
        <v>0.59109999999999996</v>
      </c>
      <c r="J83" s="11">
        <v>0.57210000000000005</v>
      </c>
      <c r="K83" s="11">
        <v>0.68669999999999998</v>
      </c>
      <c r="L83" s="11">
        <v>0.74280000000000002</v>
      </c>
      <c r="M83" s="11">
        <v>0.71909999999999996</v>
      </c>
    </row>
    <row r="84" spans="1:13" s="7" customFormat="1" x14ac:dyDescent="0.25">
      <c r="A84" s="319"/>
      <c r="B84" s="324"/>
      <c r="C84" s="7" t="s">
        <v>86</v>
      </c>
      <c r="D84" s="7" t="s">
        <v>125</v>
      </c>
      <c r="E84" s="7">
        <f>VLOOKUP(C84,'COO Import'!A:C,3,FALSE)</f>
        <v>0.56879999999999997</v>
      </c>
      <c r="F84" s="7">
        <v>0.77410000000000001</v>
      </c>
      <c r="G84" s="7">
        <v>0.68759999999999999</v>
      </c>
      <c r="H84" s="7">
        <v>0.57869999999999999</v>
      </c>
      <c r="I84" s="7">
        <v>0.50439999999999996</v>
      </c>
      <c r="J84" s="7">
        <v>0.50490000000000002</v>
      </c>
      <c r="K84" s="7">
        <v>0.66520000000000001</v>
      </c>
      <c r="L84" s="7">
        <v>0.66110000000000002</v>
      </c>
      <c r="M84" s="7">
        <v>0.62880000000000003</v>
      </c>
    </row>
    <row r="85" spans="1:13" s="11" customFormat="1" x14ac:dyDescent="0.25">
      <c r="A85" s="319"/>
      <c r="B85" s="324"/>
      <c r="C85" s="11" t="s">
        <v>87</v>
      </c>
      <c r="D85" s="11" t="s">
        <v>125</v>
      </c>
      <c r="E85" s="11">
        <f>VLOOKUP(C85,'COO Import'!A:C,3,FALSE)</f>
        <v>0.63800000000000001</v>
      </c>
      <c r="F85" s="11">
        <v>1</v>
      </c>
      <c r="G85" s="11">
        <v>1</v>
      </c>
      <c r="H85" s="11">
        <v>1</v>
      </c>
      <c r="I85" s="11">
        <v>0.43430000000000002</v>
      </c>
      <c r="J85" s="11">
        <v>0.4768</v>
      </c>
      <c r="K85" s="11">
        <v>0.37269999999999998</v>
      </c>
      <c r="L85" s="11">
        <v>0.3034</v>
      </c>
      <c r="M85" s="11">
        <v>0.46689999999999998</v>
      </c>
    </row>
    <row r="86" spans="1:13" s="7" customFormat="1" x14ac:dyDescent="0.25">
      <c r="A86" s="319"/>
      <c r="B86" s="324"/>
      <c r="C86" s="7" t="s">
        <v>88</v>
      </c>
      <c r="D86" s="7" t="s">
        <v>125</v>
      </c>
      <c r="E86" s="7">
        <f>VLOOKUP(C86,'COO Import'!A:C,3,FALSE)</f>
        <v>0.69789999999999996</v>
      </c>
      <c r="F86" s="7">
        <v>0.59250000000000003</v>
      </c>
      <c r="G86" s="7">
        <v>0.68669999999999998</v>
      </c>
      <c r="H86" s="7">
        <v>0.99850000000000005</v>
      </c>
      <c r="I86" s="7">
        <v>0.45200000000000001</v>
      </c>
      <c r="J86" s="7">
        <v>0.55430000000000001</v>
      </c>
      <c r="K86" s="7">
        <v>0.40870000000000001</v>
      </c>
      <c r="L86" s="7">
        <v>0.36099999999999999</v>
      </c>
      <c r="M86" s="7">
        <v>0.54749999999999999</v>
      </c>
    </row>
    <row r="87" spans="1:13" s="11" customFormat="1" x14ac:dyDescent="0.25">
      <c r="A87" s="319"/>
      <c r="B87" s="324"/>
      <c r="C87" s="11" t="s">
        <v>89</v>
      </c>
      <c r="D87" s="11" t="s">
        <v>125</v>
      </c>
      <c r="E87" s="11">
        <f>VLOOKUP(C87,'COO Import'!A:C,3,FALSE)</f>
        <v>1</v>
      </c>
      <c r="F87" s="11">
        <v>1</v>
      </c>
      <c r="G87" s="11">
        <v>1</v>
      </c>
      <c r="H87" s="11">
        <v>1</v>
      </c>
      <c r="I87" s="11">
        <v>1</v>
      </c>
      <c r="J87" s="11">
        <v>1</v>
      </c>
      <c r="K87" s="11">
        <v>1</v>
      </c>
      <c r="L87" s="11">
        <v>0.97560000000000002</v>
      </c>
      <c r="M87" s="11">
        <v>1</v>
      </c>
    </row>
    <row r="88" spans="1:13" s="7" customFormat="1" x14ac:dyDescent="0.25">
      <c r="A88" s="319"/>
      <c r="B88" s="324"/>
      <c r="C88" s="7" t="s">
        <v>90</v>
      </c>
      <c r="D88" s="7" t="s">
        <v>125</v>
      </c>
      <c r="E88" s="7">
        <f>VLOOKUP(C88,'COO Import'!A:C,3,FALSE)</f>
        <v>1</v>
      </c>
      <c r="F88" s="7">
        <v>1</v>
      </c>
      <c r="G88" s="7">
        <v>1</v>
      </c>
      <c r="H88" s="7">
        <v>1</v>
      </c>
      <c r="I88" s="7">
        <v>1</v>
      </c>
      <c r="J88" s="7">
        <v>1</v>
      </c>
      <c r="K88" s="7">
        <v>1</v>
      </c>
      <c r="L88" s="7">
        <v>0.58589999999999998</v>
      </c>
      <c r="M88" s="7">
        <v>1</v>
      </c>
    </row>
    <row r="89" spans="1:13" s="11" customFormat="1" x14ac:dyDescent="0.25">
      <c r="A89" s="319"/>
      <c r="B89" s="324"/>
      <c r="C89" s="11" t="s">
        <v>91</v>
      </c>
      <c r="D89" s="11" t="s">
        <v>125</v>
      </c>
      <c r="E89" s="11">
        <f>VLOOKUP(C89,'COO Import'!A:C,3,FALSE)</f>
        <v>1</v>
      </c>
      <c r="F89" s="11">
        <v>0.96750000000000003</v>
      </c>
      <c r="G89" s="11">
        <v>0.46300000000000002</v>
      </c>
      <c r="H89" s="11">
        <v>0.66810000000000003</v>
      </c>
      <c r="I89" s="11">
        <v>1</v>
      </c>
      <c r="J89" s="11">
        <v>1</v>
      </c>
      <c r="K89" s="11">
        <v>1</v>
      </c>
      <c r="L89" s="11">
        <v>0.68569999999999998</v>
      </c>
      <c r="M89" s="11">
        <v>1</v>
      </c>
    </row>
    <row r="90" spans="1:13" s="7" customFormat="1" x14ac:dyDescent="0.25">
      <c r="A90" s="319"/>
      <c r="B90" s="324"/>
      <c r="C90" s="7" t="s">
        <v>92</v>
      </c>
      <c r="D90" s="7" t="s">
        <v>125</v>
      </c>
      <c r="E90" s="7">
        <f>VLOOKUP(C90,'COO Import'!A:C,3,FALSE)</f>
        <v>1</v>
      </c>
      <c r="F90" s="7">
        <v>0.86729999999999996</v>
      </c>
      <c r="G90" s="7">
        <v>0.49730000000000002</v>
      </c>
      <c r="H90" s="7">
        <v>0.52429999999999999</v>
      </c>
      <c r="I90" s="7">
        <v>0.64759999999999995</v>
      </c>
      <c r="J90" s="7">
        <v>1</v>
      </c>
      <c r="K90" s="7">
        <v>0.98429999999999995</v>
      </c>
      <c r="L90" s="7">
        <v>1</v>
      </c>
      <c r="M90" s="7">
        <v>1</v>
      </c>
    </row>
    <row r="91" spans="1:13" s="11" customFormat="1" x14ac:dyDescent="0.25">
      <c r="A91" s="319"/>
      <c r="B91" s="324"/>
      <c r="C91" s="11" t="s">
        <v>93</v>
      </c>
      <c r="D91" s="11" t="s">
        <v>125</v>
      </c>
      <c r="E91" s="11">
        <f>VLOOKUP(C91,'COO Import'!A:C,3,FALSE)</f>
        <v>0.97960000000000003</v>
      </c>
      <c r="F91" s="11">
        <v>0.755</v>
      </c>
      <c r="G91" s="11">
        <v>0.7258</v>
      </c>
      <c r="H91" s="11">
        <v>0.79490000000000005</v>
      </c>
      <c r="I91" s="11">
        <v>0.94669999999999999</v>
      </c>
      <c r="J91" s="11">
        <v>0.97560000000000002</v>
      </c>
      <c r="K91" s="11">
        <v>0.97809999999999997</v>
      </c>
      <c r="L91" s="11">
        <v>0.97960000000000003</v>
      </c>
      <c r="M91" s="11">
        <v>0.97940000000000005</v>
      </c>
    </row>
    <row r="92" spans="1:13" s="7" customFormat="1" x14ac:dyDescent="0.25">
      <c r="A92" s="319"/>
      <c r="B92" s="324"/>
      <c r="C92" s="7" t="s">
        <v>94</v>
      </c>
      <c r="D92" s="7" t="s">
        <v>125</v>
      </c>
      <c r="E92" s="7">
        <f>VLOOKUP(C92,'COO Import'!A:C,3,FALSE)</f>
        <v>0.97960000000000003</v>
      </c>
      <c r="F92" s="7">
        <v>0.78300000000000003</v>
      </c>
      <c r="G92" s="7">
        <v>0.75409999999999999</v>
      </c>
      <c r="H92" s="7">
        <v>0.77890000000000004</v>
      </c>
      <c r="I92" s="7">
        <v>0.94479999999999997</v>
      </c>
      <c r="J92" s="7">
        <v>0.97550000000000003</v>
      </c>
      <c r="K92" s="7">
        <v>0.97809999999999997</v>
      </c>
      <c r="L92" s="7">
        <v>0.97960000000000003</v>
      </c>
      <c r="M92" s="7">
        <v>0.97940000000000005</v>
      </c>
    </row>
    <row r="93" spans="1:13" s="11" customFormat="1" x14ac:dyDescent="0.25">
      <c r="A93" s="319"/>
      <c r="B93" s="324"/>
      <c r="C93" s="11" t="s">
        <v>95</v>
      </c>
      <c r="D93" s="11" t="s">
        <v>125</v>
      </c>
      <c r="E93" s="11">
        <f>VLOOKUP(C93,'COO Import'!A:C,3,FALSE)</f>
        <v>0.97960000000000003</v>
      </c>
      <c r="F93" s="11">
        <v>0.878</v>
      </c>
      <c r="G93" s="11">
        <v>0.84809999999999997</v>
      </c>
      <c r="H93" s="11">
        <v>0.85460000000000003</v>
      </c>
      <c r="I93" s="11">
        <v>0.95079999999999998</v>
      </c>
      <c r="J93" s="11">
        <v>0.97540000000000004</v>
      </c>
      <c r="K93" s="11">
        <v>0.97809999999999997</v>
      </c>
      <c r="L93" s="11">
        <v>0.97960000000000003</v>
      </c>
      <c r="M93" s="11">
        <v>0.97940000000000005</v>
      </c>
    </row>
    <row r="94" spans="1:13" s="7" customFormat="1" x14ac:dyDescent="0.25">
      <c r="A94" s="319"/>
      <c r="B94" s="324"/>
      <c r="C94" s="7" t="s">
        <v>96</v>
      </c>
      <c r="D94" s="7" t="s">
        <v>125</v>
      </c>
      <c r="E94" s="7">
        <f>VLOOKUP(C94,'COO Import'!A:C,3,FALSE)</f>
        <v>0.97960000000000003</v>
      </c>
      <c r="F94" s="7">
        <v>0.79400000000000004</v>
      </c>
      <c r="G94" s="7">
        <v>0.76459999999999995</v>
      </c>
      <c r="H94" s="7">
        <v>0.81730000000000003</v>
      </c>
      <c r="I94" s="7">
        <v>0.94920000000000004</v>
      </c>
      <c r="J94" s="7">
        <v>0.97550000000000003</v>
      </c>
      <c r="K94" s="7">
        <v>0.97809999999999997</v>
      </c>
      <c r="L94" s="7">
        <v>0.97960000000000003</v>
      </c>
      <c r="M94" s="7">
        <v>0.97940000000000005</v>
      </c>
    </row>
    <row r="95" spans="1:13" s="11" customFormat="1" x14ac:dyDescent="0.25">
      <c r="A95" s="319"/>
      <c r="B95" s="324"/>
      <c r="C95" s="11" t="s">
        <v>97</v>
      </c>
      <c r="D95" s="11" t="s">
        <v>125</v>
      </c>
      <c r="E95" s="11">
        <f>VLOOKUP(C95,'COO Import'!A:C,3,FALSE)</f>
        <v>0.97960000000000003</v>
      </c>
      <c r="F95" s="11">
        <v>0.755</v>
      </c>
      <c r="G95" s="11">
        <v>0.72599999999999998</v>
      </c>
      <c r="H95" s="11">
        <v>0.75700000000000001</v>
      </c>
      <c r="I95" s="11">
        <v>0.9345</v>
      </c>
      <c r="J95" s="11">
        <v>0.97529999999999994</v>
      </c>
      <c r="K95" s="11">
        <v>0.97809999999999997</v>
      </c>
      <c r="L95" s="11">
        <v>0.97960000000000003</v>
      </c>
      <c r="M95" s="11">
        <v>0.97940000000000005</v>
      </c>
    </row>
    <row r="96" spans="1:13" s="7" customFormat="1" x14ac:dyDescent="0.25">
      <c r="A96" s="319"/>
      <c r="B96" s="324"/>
      <c r="C96" s="7" t="s">
        <v>98</v>
      </c>
      <c r="D96" s="7" t="s">
        <v>125</v>
      </c>
      <c r="E96" s="7">
        <f>VLOOKUP(C96,'COO Import'!A:C,3,FALSE)</f>
        <v>0.97960000000000003</v>
      </c>
      <c r="F96" s="7">
        <v>0.89100000000000001</v>
      </c>
      <c r="G96" s="7">
        <v>0.86099999999999999</v>
      </c>
      <c r="H96" s="7">
        <v>0.86199999999999999</v>
      </c>
      <c r="I96" s="7">
        <v>0.9496</v>
      </c>
      <c r="J96" s="7">
        <v>0.97560000000000002</v>
      </c>
      <c r="K96" s="7">
        <v>0.97809999999999997</v>
      </c>
      <c r="L96" s="7">
        <v>0.97960000000000003</v>
      </c>
      <c r="M96" s="7">
        <v>0.97940000000000005</v>
      </c>
    </row>
    <row r="97" spans="1:13" s="14" customFormat="1" x14ac:dyDescent="0.25">
      <c r="A97" s="319"/>
      <c r="B97" s="319" t="s">
        <v>27</v>
      </c>
      <c r="C97" s="14" t="s">
        <v>99</v>
      </c>
      <c r="D97" s="14" t="s">
        <v>131</v>
      </c>
      <c r="E97" s="14">
        <f>VALUE(LEFT(VLOOKUP(C97,'COO Import'!A:C,3,FALSE),LEN(VLOOKUP(C97,'COO Import'!A:C,3,FALSE))-LEN(D97)))</f>
        <v>1.2999999999999999E-4</v>
      </c>
      <c r="F97" s="14">
        <v>8.1999999999999998E-4</v>
      </c>
      <c r="G97" s="14">
        <v>5.1999999999999995E-4</v>
      </c>
      <c r="H97" s="14">
        <v>5.5000000000000003E-4</v>
      </c>
      <c r="I97" s="14">
        <v>6.8000000000000005E-4</v>
      </c>
      <c r="J97" s="14">
        <v>4.2999999999999999E-4</v>
      </c>
      <c r="K97" s="14">
        <v>4.0999999999999999E-4</v>
      </c>
      <c r="L97" s="14">
        <v>3.6000000000000002E-4</v>
      </c>
      <c r="M97" s="14">
        <v>2.0000000000000001E-4</v>
      </c>
    </row>
    <row r="98" spans="1:13" s="9" customFormat="1" x14ac:dyDescent="0.25">
      <c r="A98" s="319"/>
      <c r="B98" s="319"/>
      <c r="C98" s="9" t="s">
        <v>100</v>
      </c>
      <c r="D98" s="9" t="s">
        <v>131</v>
      </c>
      <c r="E98" s="9">
        <f>VALUE(LEFT(VLOOKUP(C98,'COO Import'!A:C,3,FALSE),LEN(VLOOKUP(C98,'COO Import'!A:C,3,FALSE))-LEN(D98)))</f>
        <v>1.2E-4</v>
      </c>
      <c r="F98" s="9">
        <v>9.8999999999999999E-4</v>
      </c>
      <c r="G98" s="9">
        <v>6.4999999999999997E-4</v>
      </c>
      <c r="H98" s="9">
        <v>4.8000000000000001E-4</v>
      </c>
      <c r="I98" s="9">
        <v>5.6999999999999998E-4</v>
      </c>
      <c r="J98" s="9">
        <v>3.5E-4</v>
      </c>
      <c r="K98" s="9">
        <v>3.4000000000000002E-4</v>
      </c>
      <c r="L98" s="9">
        <v>2.9999999999999997E-4</v>
      </c>
      <c r="M98" s="9">
        <v>1.7000000000000001E-4</v>
      </c>
    </row>
    <row r="99" spans="1:13" s="14" customFormat="1" x14ac:dyDescent="0.25">
      <c r="A99" s="319"/>
      <c r="B99" s="319"/>
      <c r="C99" s="14" t="s">
        <v>101</v>
      </c>
      <c r="D99" s="14" t="s">
        <v>131</v>
      </c>
      <c r="E99" s="14">
        <f>VALUE(LEFT(VLOOKUP(C99,'COO Import'!A:C,3,FALSE),LEN(VLOOKUP(C99,'COO Import'!A:C,3,FALSE))-LEN(D99)))</f>
        <v>8.0000000000000007E-5</v>
      </c>
      <c r="F99" s="14">
        <v>2.7E-4</v>
      </c>
      <c r="G99" s="14">
        <v>1.9000000000000001E-4</v>
      </c>
      <c r="H99" s="14">
        <v>2.2000000000000001E-4</v>
      </c>
      <c r="I99" s="14">
        <v>1.7000000000000001E-4</v>
      </c>
      <c r="J99" s="14">
        <v>1.4999999999999999E-4</v>
      </c>
      <c r="K99" s="14">
        <v>1.2E-4</v>
      </c>
      <c r="L99" s="14">
        <v>1E-4</v>
      </c>
      <c r="M99" s="14">
        <v>8.0000000000000007E-5</v>
      </c>
    </row>
    <row r="100" spans="1:13" s="9" customFormat="1" x14ac:dyDescent="0.25">
      <c r="A100" s="319"/>
      <c r="B100" s="319"/>
      <c r="C100" s="9" t="s">
        <v>102</v>
      </c>
      <c r="D100" s="9" t="s">
        <v>131</v>
      </c>
      <c r="E100" s="9">
        <f>VALUE(LEFT(VLOOKUP(C100,'COO Import'!A:C,3,FALSE),LEN(VLOOKUP(C100,'COO Import'!A:C,3,FALSE))-LEN(D100)))</f>
        <v>8.0000000000000007E-5</v>
      </c>
      <c r="F100" s="9">
        <v>2.5000000000000001E-4</v>
      </c>
      <c r="G100" s="9">
        <v>2.7E-4</v>
      </c>
      <c r="H100" s="9">
        <v>2.9E-4</v>
      </c>
      <c r="I100" s="9">
        <v>2.0000000000000001E-4</v>
      </c>
      <c r="J100" s="9">
        <v>1.7000000000000001E-4</v>
      </c>
      <c r="K100" s="9">
        <v>1.8000000000000001E-4</v>
      </c>
      <c r="L100" s="9">
        <v>1.6000000000000001E-4</v>
      </c>
      <c r="M100" s="9">
        <v>8.0000000000000007E-5</v>
      </c>
    </row>
    <row r="101" spans="1:13" s="14" customFormat="1" x14ac:dyDescent="0.25">
      <c r="A101" s="319"/>
      <c r="B101" s="319"/>
      <c r="C101" s="14" t="s">
        <v>103</v>
      </c>
      <c r="D101" s="14" t="s">
        <v>131</v>
      </c>
      <c r="E101" s="14">
        <f>VALUE(LEFT(VLOOKUP(C101,'COO Import'!A:C,3,FALSE),LEN(VLOOKUP(C101,'COO Import'!A:C,3,FALSE))-LEN(D101)))</f>
        <v>8.0000000000000007E-5</v>
      </c>
      <c r="F101" s="14">
        <v>4.4999999999999999E-4</v>
      </c>
      <c r="G101" s="14">
        <v>5.1000000000000004E-4</v>
      </c>
      <c r="H101" s="14">
        <v>3.6999999999999999E-4</v>
      </c>
      <c r="I101" s="14">
        <v>1.7000000000000001E-4</v>
      </c>
      <c r="J101" s="14">
        <v>1.6000000000000001E-4</v>
      </c>
      <c r="K101" s="14">
        <v>1.8000000000000001E-4</v>
      </c>
      <c r="L101" s="14">
        <v>1.3999999999999999E-4</v>
      </c>
      <c r="M101" s="14">
        <v>8.0000000000000007E-5</v>
      </c>
    </row>
    <row r="102" spans="1:13" s="9" customFormat="1" x14ac:dyDescent="0.25">
      <c r="A102" s="319"/>
      <c r="B102" s="319"/>
      <c r="C102" s="9" t="s">
        <v>104</v>
      </c>
      <c r="D102" s="9" t="s">
        <v>131</v>
      </c>
      <c r="E102" s="9">
        <f>VALUE(LEFT(VLOOKUP(C102,'COO Import'!A:C,3,FALSE),LEN(VLOOKUP(C102,'COO Import'!A:C,3,FALSE))-LEN(D102)))</f>
        <v>6.9999999999999994E-5</v>
      </c>
      <c r="F102" s="9">
        <v>2.7E-4</v>
      </c>
      <c r="G102" s="9">
        <v>3.2000000000000003E-4</v>
      </c>
      <c r="H102" s="9">
        <v>3.5E-4</v>
      </c>
      <c r="I102" s="9">
        <v>2.5999999999999998E-4</v>
      </c>
      <c r="J102" s="9">
        <v>1.4999999999999999E-4</v>
      </c>
      <c r="K102" s="9">
        <v>1.4999999999999999E-4</v>
      </c>
      <c r="L102" s="9">
        <v>9.0000000000000006E-5</v>
      </c>
      <c r="M102" s="9">
        <v>6.9999999999999994E-5</v>
      </c>
    </row>
    <row r="103" spans="1:13" s="14" customFormat="1" x14ac:dyDescent="0.25">
      <c r="A103" s="319"/>
      <c r="B103" s="319"/>
      <c r="C103" s="14" t="s">
        <v>105</v>
      </c>
      <c r="D103" s="14" t="s">
        <v>132</v>
      </c>
      <c r="E103" s="14">
        <f>VALUE(LEFT(VLOOKUP(C103,'COO Import'!A:C,3,FALSE),LEN(VLOOKUP(C103,'COO Import'!A:C,3,FALSE))-LEN(D103)))</f>
        <v>246.53</v>
      </c>
      <c r="F103" s="14">
        <v>59</v>
      </c>
      <c r="G103" s="14">
        <v>57.54</v>
      </c>
      <c r="H103" s="14">
        <v>56.12</v>
      </c>
      <c r="I103" s="14">
        <v>94.7</v>
      </c>
      <c r="J103" s="14">
        <v>152.69999999999999</v>
      </c>
      <c r="K103" s="14">
        <v>193.74</v>
      </c>
      <c r="L103" s="14">
        <v>238.27</v>
      </c>
      <c r="M103" s="14">
        <v>247.43</v>
      </c>
    </row>
    <row r="104" spans="1:13" s="9" customFormat="1" x14ac:dyDescent="0.25">
      <c r="A104" s="319"/>
      <c r="B104" s="319"/>
      <c r="C104" s="9" t="s">
        <v>106</v>
      </c>
      <c r="D104" s="9" t="s">
        <v>132</v>
      </c>
      <c r="E104" s="9">
        <f>VALUE(LEFT(VLOOKUP(C104,'COO Import'!A:C,3,FALSE),LEN(VLOOKUP(C104,'COO Import'!A:C,3,FALSE))-LEN(D104)))</f>
        <v>248.43</v>
      </c>
      <c r="F104" s="9">
        <v>67.2</v>
      </c>
      <c r="G104" s="9">
        <v>65.53</v>
      </c>
      <c r="H104" s="9">
        <v>63.91</v>
      </c>
      <c r="I104" s="9">
        <v>101.25</v>
      </c>
      <c r="J104" s="9">
        <v>157.56</v>
      </c>
      <c r="K104" s="9">
        <v>197.39</v>
      </c>
      <c r="L104" s="9">
        <v>240.7</v>
      </c>
      <c r="M104" s="9">
        <v>249.48</v>
      </c>
    </row>
    <row r="105" spans="1:13" s="14" customFormat="1" x14ac:dyDescent="0.25">
      <c r="A105" s="319"/>
      <c r="B105" s="319"/>
      <c r="C105" s="14" t="s">
        <v>107</v>
      </c>
      <c r="D105" s="14" t="s">
        <v>132</v>
      </c>
      <c r="E105" s="14">
        <f>VALUE(LEFT(VLOOKUP(C105,'COO Import'!A:C,3,FALSE),LEN(VLOOKUP(C105,'COO Import'!A:C,3,FALSE))-LEN(D105)))</f>
        <v>263.36</v>
      </c>
      <c r="F105" s="14">
        <v>131.77000000000001</v>
      </c>
      <c r="G105" s="14">
        <v>128.51</v>
      </c>
      <c r="H105" s="14">
        <v>125.33</v>
      </c>
      <c r="I105" s="14">
        <v>152.87</v>
      </c>
      <c r="J105" s="14">
        <v>195.83</v>
      </c>
      <c r="K105" s="14">
        <v>226.14</v>
      </c>
      <c r="L105" s="14">
        <v>259.82</v>
      </c>
      <c r="M105" s="14">
        <v>265.61</v>
      </c>
    </row>
    <row r="106" spans="1:13" s="9" customFormat="1" x14ac:dyDescent="0.25">
      <c r="A106" s="319"/>
      <c r="B106" s="319"/>
      <c r="C106" s="9" t="s">
        <v>108</v>
      </c>
      <c r="D106" s="9" t="s">
        <v>132</v>
      </c>
      <c r="E106" s="9">
        <f>VALUE(LEFT(VLOOKUP(C106,'COO Import'!A:C,3,FALSE),LEN(VLOOKUP(C106,'COO Import'!A:C,3,FALSE))-LEN(D106)))</f>
        <v>257.39999999999998</v>
      </c>
      <c r="F106" s="9">
        <v>106.01</v>
      </c>
      <c r="G106" s="9">
        <v>103.39</v>
      </c>
      <c r="H106" s="9">
        <v>100.83</v>
      </c>
      <c r="I106" s="9">
        <v>132.28</v>
      </c>
      <c r="J106" s="9">
        <v>180.56</v>
      </c>
      <c r="K106" s="9">
        <v>214.67</v>
      </c>
      <c r="L106" s="9">
        <v>252.19</v>
      </c>
      <c r="M106" s="9">
        <v>259.18</v>
      </c>
    </row>
    <row r="107" spans="1:13" s="14" customFormat="1" x14ac:dyDescent="0.25">
      <c r="A107" s="319"/>
      <c r="B107" s="319"/>
      <c r="C107" s="14" t="s">
        <v>109</v>
      </c>
      <c r="D107" s="14" t="s">
        <v>132</v>
      </c>
      <c r="E107" s="14">
        <f>VALUE(LEFT(VLOOKUP(C107,'COO Import'!A:C,3,FALSE),LEN(VLOOKUP(C107,'COO Import'!A:C,3,FALSE))-LEN(D107)))</f>
        <v>263.52</v>
      </c>
      <c r="F107" s="14">
        <v>132.44</v>
      </c>
      <c r="G107" s="14">
        <v>129.16</v>
      </c>
      <c r="H107" s="14">
        <v>125.97</v>
      </c>
      <c r="I107" s="14">
        <v>153.41</v>
      </c>
      <c r="J107" s="14">
        <v>196.23</v>
      </c>
      <c r="K107" s="14">
        <v>226.44</v>
      </c>
      <c r="L107" s="14">
        <v>260.02</v>
      </c>
      <c r="M107" s="14">
        <v>265.77999999999997</v>
      </c>
    </row>
    <row r="108" spans="1:13" s="9" customFormat="1" x14ac:dyDescent="0.25">
      <c r="A108" s="319"/>
      <c r="B108" s="319"/>
      <c r="C108" s="9" t="s">
        <v>110</v>
      </c>
      <c r="D108" s="9" t="s">
        <v>132</v>
      </c>
      <c r="E108" s="9">
        <f>VALUE(LEFT(VLOOKUP(C108,'COO Import'!A:C,3,FALSE),LEN(VLOOKUP(C108,'COO Import'!A:C,3,FALSE))-LEN(D108)))</f>
        <v>270</v>
      </c>
      <c r="F108" s="9">
        <v>160.49</v>
      </c>
      <c r="G108" s="9">
        <v>156.52000000000001</v>
      </c>
      <c r="H108" s="9">
        <v>152.65</v>
      </c>
      <c r="I108" s="9">
        <v>175.83</v>
      </c>
      <c r="J108" s="9">
        <v>212.85</v>
      </c>
      <c r="K108" s="9">
        <v>238.93</v>
      </c>
      <c r="L108" s="9">
        <v>268.32</v>
      </c>
      <c r="M108" s="9">
        <v>272.79000000000002</v>
      </c>
    </row>
    <row r="109" spans="1:13" s="11" customFormat="1" x14ac:dyDescent="0.25">
      <c r="A109" s="319"/>
      <c r="B109" s="319"/>
      <c r="C109" s="11" t="s">
        <v>111</v>
      </c>
      <c r="D109" s="11" t="s">
        <v>125</v>
      </c>
      <c r="E109" s="11">
        <f>VLOOKUP(C109,'COO Import'!A:C,3,FALSE)</f>
        <v>4.87E-2</v>
      </c>
      <c r="F109" s="11">
        <v>5.8900000000000001E-2</v>
      </c>
      <c r="G109" s="11">
        <v>5.91E-2</v>
      </c>
      <c r="H109" s="11">
        <v>5.4300000000000001E-2</v>
      </c>
      <c r="I109" s="11">
        <v>4.9599999999999998E-2</v>
      </c>
      <c r="J109" s="11">
        <v>4.4499999999999998E-2</v>
      </c>
      <c r="K109" s="11">
        <v>3.7100000000000001E-2</v>
      </c>
      <c r="L109" s="11">
        <v>4.1300000000000003E-2</v>
      </c>
      <c r="M109" s="11">
        <v>4.6600000000000003E-2</v>
      </c>
    </row>
    <row r="110" spans="1:13" s="7" customFormat="1" x14ac:dyDescent="0.25">
      <c r="A110" s="319"/>
      <c r="B110" s="319"/>
      <c r="C110" s="7" t="s">
        <v>112</v>
      </c>
      <c r="D110" s="7" t="s">
        <v>125</v>
      </c>
      <c r="E110" s="7">
        <f>VLOOKUP(C110,'COO Import'!A:C,3,FALSE)</f>
        <v>4.3099999999999999E-2</v>
      </c>
      <c r="F110" s="7">
        <v>3.9100000000000003E-2</v>
      </c>
      <c r="G110" s="7">
        <v>6.9099999999999995E-2</v>
      </c>
      <c r="H110" s="7">
        <v>5.5300000000000002E-2</v>
      </c>
      <c r="I110" s="7">
        <v>5.0500000000000003E-2</v>
      </c>
      <c r="J110" s="7">
        <v>3.6200000000000003E-2</v>
      </c>
      <c r="K110" s="7">
        <v>3.5900000000000001E-2</v>
      </c>
      <c r="L110" s="7">
        <v>3.8699999999999998E-2</v>
      </c>
      <c r="M110" s="7">
        <v>4.2299999999999997E-2</v>
      </c>
    </row>
    <row r="111" spans="1:13" s="11" customFormat="1" x14ac:dyDescent="0.25">
      <c r="A111" s="319"/>
      <c r="B111" s="319"/>
      <c r="C111" s="11" t="s">
        <v>113</v>
      </c>
      <c r="D111" s="11" t="s">
        <v>125</v>
      </c>
      <c r="E111" s="11">
        <f>VLOOKUP(C111,'COO Import'!A:C,3,FALSE)</f>
        <v>2.3599999999999999E-2</v>
      </c>
      <c r="F111" s="11">
        <v>3.3599999999999998E-2</v>
      </c>
      <c r="G111" s="11">
        <v>3.1199999999999999E-2</v>
      </c>
      <c r="H111" s="11">
        <v>4.2500000000000003E-2</v>
      </c>
      <c r="I111" s="11">
        <v>5.62E-2</v>
      </c>
      <c r="J111" s="11">
        <v>2.7199999999999998E-2</v>
      </c>
      <c r="K111" s="11">
        <v>1.9800000000000002E-2</v>
      </c>
      <c r="L111" s="11">
        <v>2.1499999999999998E-2</v>
      </c>
      <c r="M111" s="11">
        <v>2.1299999999999999E-2</v>
      </c>
    </row>
    <row r="112" spans="1:13" s="7" customFormat="1" x14ac:dyDescent="0.25">
      <c r="A112" s="319"/>
      <c r="B112" s="319"/>
      <c r="C112" s="7" t="s">
        <v>114</v>
      </c>
      <c r="D112" s="7" t="s">
        <v>125</v>
      </c>
      <c r="E112" s="7">
        <f>VLOOKUP(C112,'COO Import'!A:C,3,FALSE)</f>
        <v>2.4400000000000002E-2</v>
      </c>
      <c r="F112" s="7">
        <v>3.2000000000000001E-2</v>
      </c>
      <c r="G112" s="7">
        <v>5.0500000000000003E-2</v>
      </c>
      <c r="H112" s="7">
        <v>3.5799999999999998E-2</v>
      </c>
      <c r="I112" s="7">
        <v>4.4299999999999999E-2</v>
      </c>
      <c r="J112" s="7">
        <v>3.3300000000000003E-2</v>
      </c>
      <c r="K112" s="7">
        <v>2.47E-2</v>
      </c>
      <c r="L112" s="7">
        <v>2.12E-2</v>
      </c>
      <c r="M112" s="7">
        <v>2.2700000000000001E-2</v>
      </c>
    </row>
    <row r="113" spans="1:13" s="11" customFormat="1" x14ac:dyDescent="0.25">
      <c r="A113" s="319"/>
      <c r="B113" s="319"/>
      <c r="C113" s="11" t="s">
        <v>115</v>
      </c>
      <c r="D113" s="11" t="s">
        <v>125</v>
      </c>
      <c r="E113" s="11">
        <f>VLOOKUP(C113,'COO Import'!A:C,3,FALSE)</f>
        <v>2.3400000000000001E-2</v>
      </c>
      <c r="F113" s="11">
        <v>3.4200000000000001E-2</v>
      </c>
      <c r="G113" s="11">
        <v>5.8299999999999998E-2</v>
      </c>
      <c r="H113" s="11">
        <v>4.4299999999999999E-2</v>
      </c>
      <c r="I113" s="11">
        <v>5.2499999999999998E-2</v>
      </c>
      <c r="J113" s="11">
        <v>3.39E-2</v>
      </c>
      <c r="K113" s="11">
        <v>2.5000000000000001E-2</v>
      </c>
      <c r="L113" s="11">
        <v>2.07E-2</v>
      </c>
      <c r="M113" s="11">
        <v>2.1600000000000001E-2</v>
      </c>
    </row>
    <row r="114" spans="1:13" s="7" customFormat="1" x14ac:dyDescent="0.25">
      <c r="A114" s="319"/>
      <c r="B114" s="319"/>
      <c r="C114" s="7" t="s">
        <v>116</v>
      </c>
      <c r="D114" s="7" t="s">
        <v>125</v>
      </c>
      <c r="E114" s="7">
        <f>VLOOKUP(C114,'COO Import'!A:C,3,FALSE)</f>
        <v>2.7699999999999999E-2</v>
      </c>
      <c r="F114" s="7">
        <v>6.1699999999999998E-2</v>
      </c>
      <c r="G114" s="7">
        <v>3.61E-2</v>
      </c>
      <c r="H114" s="7">
        <v>5.7200000000000001E-2</v>
      </c>
      <c r="I114" s="7">
        <v>7.8100000000000003E-2</v>
      </c>
      <c r="J114" s="7">
        <v>4.5100000000000001E-2</v>
      </c>
      <c r="K114" s="7">
        <v>3.0800000000000001E-2</v>
      </c>
      <c r="L114" s="7">
        <v>2.4E-2</v>
      </c>
      <c r="M114" s="7">
        <v>2.5399999999999999E-2</v>
      </c>
    </row>
    <row r="115" spans="1:13" s="10" customFormat="1" x14ac:dyDescent="0.25">
      <c r="A115" s="319"/>
      <c r="B115" s="319" t="s">
        <v>45</v>
      </c>
      <c r="C115" s="10" t="s">
        <v>117</v>
      </c>
      <c r="D115" s="10" t="s">
        <v>130</v>
      </c>
      <c r="E115" s="10">
        <f>VLOOKUP(C115,'COO Import'!A:C,3,FALSE)</f>
        <v>8.44</v>
      </c>
      <c r="F115" s="10">
        <v>4.42</v>
      </c>
      <c r="G115" s="10">
        <v>4.0199999999999996</v>
      </c>
      <c r="H115" s="10">
        <v>3.3</v>
      </c>
      <c r="I115" s="10">
        <v>3.77</v>
      </c>
      <c r="J115" s="10">
        <v>3.34</v>
      </c>
      <c r="K115" s="10">
        <v>2.4300000000000002</v>
      </c>
      <c r="L115" s="10">
        <v>2.97</v>
      </c>
      <c r="M115" s="10">
        <v>8.2899999999999991</v>
      </c>
    </row>
    <row r="116" spans="1:13" s="6" customFormat="1" x14ac:dyDescent="0.25">
      <c r="A116" s="319"/>
      <c r="B116" s="319"/>
      <c r="C116" s="6" t="s">
        <v>118</v>
      </c>
      <c r="D116" s="6" t="s">
        <v>130</v>
      </c>
      <c r="E116" s="6">
        <f>VLOOKUP(C116,'COO Import'!A:C,3,FALSE)</f>
        <v>9.56</v>
      </c>
      <c r="F116" s="6">
        <v>5.86</v>
      </c>
      <c r="G116" s="6">
        <v>5.86</v>
      </c>
      <c r="H116" s="6">
        <v>5.29</v>
      </c>
      <c r="I116" s="6">
        <v>5.56</v>
      </c>
      <c r="J116" s="6">
        <v>4.96</v>
      </c>
      <c r="K116" s="6">
        <v>3.64</v>
      </c>
      <c r="L116" s="6">
        <v>3.71</v>
      </c>
      <c r="M116" s="6">
        <v>9.39</v>
      </c>
    </row>
    <row r="117" spans="1:13" s="11" customFormat="1" x14ac:dyDescent="0.25">
      <c r="A117" s="319"/>
      <c r="B117" s="319"/>
      <c r="C117" s="11" t="s">
        <v>119</v>
      </c>
      <c r="D117" s="11" t="s">
        <v>125</v>
      </c>
      <c r="E117" s="11">
        <f>VLOOKUP(C117,'COO Import'!A:C,3,FALSE)</f>
        <v>0.15040000000000001</v>
      </c>
      <c r="F117" s="11">
        <v>9.3100000000000002E-2</v>
      </c>
      <c r="G117" s="11">
        <v>9.6100000000000005E-2</v>
      </c>
      <c r="H117" s="11">
        <v>8.4400000000000003E-2</v>
      </c>
      <c r="I117" s="11">
        <v>8.5599999999999996E-2</v>
      </c>
      <c r="J117" s="11">
        <v>7.2400000000000006E-2</v>
      </c>
      <c r="K117" s="11">
        <v>5.7299999999999997E-2</v>
      </c>
      <c r="L117" s="11">
        <v>6.0199999999999997E-2</v>
      </c>
      <c r="M117" s="11">
        <v>0.14610000000000001</v>
      </c>
    </row>
    <row r="118" spans="1:13" s="7" customFormat="1" x14ac:dyDescent="0.25">
      <c r="A118" s="319"/>
      <c r="B118" s="319"/>
      <c r="C118" s="7" t="s">
        <v>120</v>
      </c>
      <c r="D118" s="7" t="s">
        <v>125</v>
      </c>
      <c r="E118" s="7">
        <f>VLOOKUP(C118,'COO Import'!A:C,3,FALSE)</f>
        <v>0.61839999999999995</v>
      </c>
      <c r="F118" s="7">
        <v>0.60650000000000004</v>
      </c>
      <c r="G118" s="7">
        <v>0.62490000000000001</v>
      </c>
      <c r="H118" s="7">
        <v>0.60419999999999996</v>
      </c>
      <c r="I118" s="7">
        <v>0.5867</v>
      </c>
      <c r="J118" s="7">
        <v>0.56010000000000004</v>
      </c>
      <c r="K118" s="7">
        <v>0.61719999999999997</v>
      </c>
      <c r="L118" s="7">
        <v>0.64859999999999995</v>
      </c>
      <c r="M118" s="7">
        <v>0.61160000000000003</v>
      </c>
    </row>
  </sheetData>
  <mergeCells count="18">
    <mergeCell ref="A1:C1"/>
    <mergeCell ref="B56:B58"/>
    <mergeCell ref="B59:B61"/>
    <mergeCell ref="B62:B65"/>
    <mergeCell ref="B66:B71"/>
    <mergeCell ref="A56:A71"/>
    <mergeCell ref="B2:B6"/>
    <mergeCell ref="B7:B26"/>
    <mergeCell ref="B27:B43"/>
    <mergeCell ref="B44:B47"/>
    <mergeCell ref="A2:A47"/>
    <mergeCell ref="B49:B54"/>
    <mergeCell ref="A49:A54"/>
    <mergeCell ref="B79:B96"/>
    <mergeCell ref="B97:B114"/>
    <mergeCell ref="B115:B118"/>
    <mergeCell ref="A73:A118"/>
    <mergeCell ref="B73:B78"/>
  </mergeCell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17" id="{BC304DBB-30E5-46D6-A318-B03394A903B9}">
            <x14:iconSet custom="1">
              <x14:cfvo type="percent">
                <xm:f>0</xm:f>
              </x14:cfvo>
              <x14:cfvo type="num">
                <xm:f>$F$2</xm:f>
              </x14:cfvo>
              <x14:cfvo type="num" gte="0">
                <xm:f>$F$2</xm:f>
              </x14:cfvo>
              <x14:cfIcon iconSet="3Arrows" iconId="0"/>
              <x14:cfIcon iconSet="3Arrows" iconId="1"/>
              <x14:cfIcon iconSet="3Arrows" iconId="2"/>
            </x14:iconSet>
          </x14:cfRule>
          <xm:sqref>E2</xm:sqref>
        </x14:conditionalFormatting>
        <x14:conditionalFormatting xmlns:xm="http://schemas.microsoft.com/office/excel/2006/main">
          <x14:cfRule type="iconSet" priority="116" id="{3C04B308-CFCC-499A-9B6F-F643DF99CBC7}">
            <x14:iconSet custom="1">
              <x14:cfvo type="percent">
                <xm:f>0</xm:f>
              </x14:cfvo>
              <x14:cfvo type="num">
                <xm:f>$F$3</xm:f>
              </x14:cfvo>
              <x14:cfvo type="num" gte="0">
                <xm:f>$F$3</xm:f>
              </x14:cfvo>
              <x14:cfIcon iconSet="3Arrows" iconId="0"/>
              <x14:cfIcon iconSet="3Arrows" iconId="1"/>
              <x14:cfIcon iconSet="3Arrows" iconId="2"/>
            </x14:iconSet>
          </x14:cfRule>
          <xm:sqref>E3</xm:sqref>
        </x14:conditionalFormatting>
        <x14:conditionalFormatting xmlns:xm="http://schemas.microsoft.com/office/excel/2006/main">
          <x14:cfRule type="iconSet" priority="115" id="{05D10928-86FC-47A5-A4ED-D970D7E3DB5F}">
            <x14:iconSet custom="1">
              <x14:cfvo type="percent">
                <xm:f>0</xm:f>
              </x14:cfvo>
              <x14:cfvo type="num">
                <xm:f>$F$4</xm:f>
              </x14:cfvo>
              <x14:cfvo type="num" gte="0">
                <xm:f>$F$4</xm:f>
              </x14:cfvo>
              <x14:cfIcon iconSet="3Arrows" iconId="0"/>
              <x14:cfIcon iconSet="3Arrows" iconId="1"/>
              <x14:cfIcon iconSet="3Arrows" iconId="2"/>
            </x14:iconSet>
          </x14:cfRule>
          <xm:sqref>E4</xm:sqref>
        </x14:conditionalFormatting>
        <x14:conditionalFormatting xmlns:xm="http://schemas.microsoft.com/office/excel/2006/main">
          <x14:cfRule type="iconSet" priority="114" id="{2248B898-AFD8-4D87-AE73-34D002757ADD}">
            <x14:iconSet custom="1">
              <x14:cfvo type="percent">
                <xm:f>0</xm:f>
              </x14:cfvo>
              <x14:cfvo type="num">
                <xm:f>$F$5</xm:f>
              </x14:cfvo>
              <x14:cfvo type="num" gte="0">
                <xm:f>$F$5</xm:f>
              </x14:cfvo>
              <x14:cfIcon iconSet="3Arrows" iconId="0"/>
              <x14:cfIcon iconSet="3Arrows" iconId="1"/>
              <x14:cfIcon iconSet="3Arrows" iconId="2"/>
            </x14:iconSet>
          </x14:cfRule>
          <xm:sqref>E5</xm:sqref>
        </x14:conditionalFormatting>
        <x14:conditionalFormatting xmlns:xm="http://schemas.microsoft.com/office/excel/2006/main">
          <x14:cfRule type="iconSet" priority="113" id="{62FCC052-645A-4556-93AC-B32E3A8D23D2}">
            <x14:iconSet custom="1">
              <x14:cfvo type="percent">
                <xm:f>0</xm:f>
              </x14:cfvo>
              <x14:cfvo type="num">
                <xm:f>$F$6</xm:f>
              </x14:cfvo>
              <x14:cfvo type="num" gte="0">
                <xm:f>$F$6</xm:f>
              </x14:cfvo>
              <x14:cfIcon iconSet="3Arrows" iconId="0"/>
              <x14:cfIcon iconSet="3Arrows" iconId="1"/>
              <x14:cfIcon iconSet="3Arrows" iconId="2"/>
            </x14:iconSet>
          </x14:cfRule>
          <xm:sqref>E6</xm:sqref>
        </x14:conditionalFormatting>
        <x14:conditionalFormatting xmlns:xm="http://schemas.microsoft.com/office/excel/2006/main">
          <x14:cfRule type="iconSet" priority="112" id="{5ADD2EFF-EFF1-4D00-A06A-7BA6CEDC2429}">
            <x14:iconSet custom="1">
              <x14:cfvo type="percent">
                <xm:f>0</xm:f>
              </x14:cfvo>
              <x14:cfvo type="num">
                <xm:f>$F$7</xm:f>
              </x14:cfvo>
              <x14:cfvo type="num" gte="0">
                <xm:f>$F$7</xm:f>
              </x14:cfvo>
              <x14:cfIcon iconSet="3Arrows" iconId="0"/>
              <x14:cfIcon iconSet="3Arrows" iconId="1"/>
              <x14:cfIcon iconSet="3Arrows" iconId="2"/>
            </x14:iconSet>
          </x14:cfRule>
          <xm:sqref>E7</xm:sqref>
        </x14:conditionalFormatting>
        <x14:conditionalFormatting xmlns:xm="http://schemas.microsoft.com/office/excel/2006/main">
          <x14:cfRule type="iconSet" priority="111" id="{2404151B-CA6A-4603-98C1-0718FF01DF2E}">
            <x14:iconSet custom="1">
              <x14:cfvo type="percent">
                <xm:f>0</xm:f>
              </x14:cfvo>
              <x14:cfvo type="num">
                <xm:f>$F$8</xm:f>
              </x14:cfvo>
              <x14:cfvo type="num" gte="0">
                <xm:f>$F$8</xm:f>
              </x14:cfvo>
              <x14:cfIcon iconSet="3Arrows" iconId="0"/>
              <x14:cfIcon iconSet="3Arrows" iconId="1"/>
              <x14:cfIcon iconSet="3Arrows" iconId="2"/>
            </x14:iconSet>
          </x14:cfRule>
          <xm:sqref>E8</xm:sqref>
        </x14:conditionalFormatting>
        <x14:conditionalFormatting xmlns:xm="http://schemas.microsoft.com/office/excel/2006/main">
          <x14:cfRule type="iconSet" priority="110" id="{392E370A-3310-475B-8C00-B07A8B1222A6}">
            <x14:iconSet custom="1">
              <x14:cfvo type="percent">
                <xm:f>0</xm:f>
              </x14:cfvo>
              <x14:cfvo type="num">
                <xm:f>$F$9</xm:f>
              </x14:cfvo>
              <x14:cfvo type="num" gte="0">
                <xm:f>$F$9</xm:f>
              </x14:cfvo>
              <x14:cfIcon iconSet="3Arrows" iconId="0"/>
              <x14:cfIcon iconSet="3Arrows" iconId="1"/>
              <x14:cfIcon iconSet="3Arrows" iconId="2"/>
            </x14:iconSet>
          </x14:cfRule>
          <xm:sqref>E9</xm:sqref>
        </x14:conditionalFormatting>
        <x14:conditionalFormatting xmlns:xm="http://schemas.microsoft.com/office/excel/2006/main">
          <x14:cfRule type="iconSet" priority="109" id="{0A39259E-4409-4E76-9184-A7D96F191C99}">
            <x14:iconSet custom="1">
              <x14:cfvo type="percent">
                <xm:f>0</xm:f>
              </x14:cfvo>
              <x14:cfvo type="num">
                <xm:f>$F$10</xm:f>
              </x14:cfvo>
              <x14:cfvo type="num" gte="0">
                <xm:f>$F$10</xm:f>
              </x14:cfvo>
              <x14:cfIcon iconSet="3Arrows" iconId="0"/>
              <x14:cfIcon iconSet="3Arrows" iconId="1"/>
              <x14:cfIcon iconSet="3Arrows" iconId="2"/>
            </x14:iconSet>
          </x14:cfRule>
          <xm:sqref>E10</xm:sqref>
        </x14:conditionalFormatting>
        <x14:conditionalFormatting xmlns:xm="http://schemas.microsoft.com/office/excel/2006/main">
          <x14:cfRule type="iconSet" priority="108" id="{670B91A3-6952-4E4B-9795-BFCEC4D311F0}">
            <x14:iconSet custom="1">
              <x14:cfvo type="percent">
                <xm:f>0</xm:f>
              </x14:cfvo>
              <x14:cfvo type="num">
                <xm:f>$F$11</xm:f>
              </x14:cfvo>
              <x14:cfvo type="num" gte="0">
                <xm:f>$F$11</xm:f>
              </x14:cfvo>
              <x14:cfIcon iconSet="3Arrows" iconId="0"/>
              <x14:cfIcon iconSet="3Arrows" iconId="1"/>
              <x14:cfIcon iconSet="3Arrows" iconId="2"/>
            </x14:iconSet>
          </x14:cfRule>
          <xm:sqref>E11</xm:sqref>
        </x14:conditionalFormatting>
        <x14:conditionalFormatting xmlns:xm="http://schemas.microsoft.com/office/excel/2006/main">
          <x14:cfRule type="iconSet" priority="107" id="{311BDC7A-DB53-4555-B9A3-1E465341E7C9}">
            <x14:iconSet custom="1">
              <x14:cfvo type="percent">
                <xm:f>0</xm:f>
              </x14:cfvo>
              <x14:cfvo type="num">
                <xm:f>$F$12</xm:f>
              </x14:cfvo>
              <x14:cfvo type="num" gte="0">
                <xm:f>$F$12</xm:f>
              </x14:cfvo>
              <x14:cfIcon iconSet="3Arrows" iconId="0"/>
              <x14:cfIcon iconSet="3Arrows" iconId="1"/>
              <x14:cfIcon iconSet="3Arrows" iconId="2"/>
            </x14:iconSet>
          </x14:cfRule>
          <xm:sqref>E12</xm:sqref>
        </x14:conditionalFormatting>
        <x14:conditionalFormatting xmlns:xm="http://schemas.microsoft.com/office/excel/2006/main">
          <x14:cfRule type="iconSet" priority="106" id="{D3B2A825-D0D0-436F-B9A0-0DD1F0DB3304}">
            <x14:iconSet custom="1">
              <x14:cfvo type="percent">
                <xm:f>0</xm:f>
              </x14:cfvo>
              <x14:cfvo type="num">
                <xm:f>$F$13</xm:f>
              </x14:cfvo>
              <x14:cfvo type="num" gte="0">
                <xm:f>$F$13</xm:f>
              </x14:cfvo>
              <x14:cfIcon iconSet="3Arrows" iconId="0"/>
              <x14:cfIcon iconSet="3Arrows" iconId="1"/>
              <x14:cfIcon iconSet="3Arrows" iconId="2"/>
            </x14:iconSet>
          </x14:cfRule>
          <xm:sqref>E13</xm:sqref>
        </x14:conditionalFormatting>
        <x14:conditionalFormatting xmlns:xm="http://schemas.microsoft.com/office/excel/2006/main">
          <x14:cfRule type="iconSet" priority="105" id="{CF18592B-630F-4777-8CD3-02DE5DE495D3}">
            <x14:iconSet custom="1">
              <x14:cfvo type="percent">
                <xm:f>0</xm:f>
              </x14:cfvo>
              <x14:cfvo type="num">
                <xm:f>$F$14</xm:f>
              </x14:cfvo>
              <x14:cfvo type="num" gte="0">
                <xm:f>$F$14</xm:f>
              </x14:cfvo>
              <x14:cfIcon iconSet="3Arrows" iconId="0"/>
              <x14:cfIcon iconSet="3Arrows" iconId="1"/>
              <x14:cfIcon iconSet="3Arrows" iconId="2"/>
            </x14:iconSet>
          </x14:cfRule>
          <xm:sqref>E14</xm:sqref>
        </x14:conditionalFormatting>
        <x14:conditionalFormatting xmlns:xm="http://schemas.microsoft.com/office/excel/2006/main">
          <x14:cfRule type="iconSet" priority="104" id="{86A63F45-6BD8-43AD-B4E3-252514F88FC9}">
            <x14:iconSet custom="1">
              <x14:cfvo type="percent">
                <xm:f>0</xm:f>
              </x14:cfvo>
              <x14:cfvo type="num">
                <xm:f>$F$15</xm:f>
              </x14:cfvo>
              <x14:cfvo type="num" gte="0">
                <xm:f>$F$15</xm:f>
              </x14:cfvo>
              <x14:cfIcon iconSet="3Arrows" iconId="0"/>
              <x14:cfIcon iconSet="3Arrows" iconId="1"/>
              <x14:cfIcon iconSet="3Arrows" iconId="2"/>
            </x14:iconSet>
          </x14:cfRule>
          <xm:sqref>E15</xm:sqref>
        </x14:conditionalFormatting>
        <x14:conditionalFormatting xmlns:xm="http://schemas.microsoft.com/office/excel/2006/main">
          <x14:cfRule type="iconSet" priority="103" id="{8015C04B-E6EB-439D-A7AD-B55ACE3AB712}">
            <x14:iconSet custom="1">
              <x14:cfvo type="percent">
                <xm:f>0</xm:f>
              </x14:cfvo>
              <x14:cfvo type="num">
                <xm:f>$F$16</xm:f>
              </x14:cfvo>
              <x14:cfvo type="num" gte="0">
                <xm:f>$F$16</xm:f>
              </x14:cfvo>
              <x14:cfIcon iconSet="3Arrows" iconId="0"/>
              <x14:cfIcon iconSet="3Arrows" iconId="1"/>
              <x14:cfIcon iconSet="3Arrows" iconId="2"/>
            </x14:iconSet>
          </x14:cfRule>
          <xm:sqref>E16</xm:sqref>
        </x14:conditionalFormatting>
        <x14:conditionalFormatting xmlns:xm="http://schemas.microsoft.com/office/excel/2006/main">
          <x14:cfRule type="iconSet" priority="102" id="{0267A0A2-8883-4027-B21D-5998B04D5D45}">
            <x14:iconSet custom="1">
              <x14:cfvo type="percent">
                <xm:f>0</xm:f>
              </x14:cfvo>
              <x14:cfvo type="num">
                <xm:f>$F$17</xm:f>
              </x14:cfvo>
              <x14:cfvo type="num" gte="0">
                <xm:f>$F$17</xm:f>
              </x14:cfvo>
              <x14:cfIcon iconSet="3Arrows" iconId="0"/>
              <x14:cfIcon iconSet="3Arrows" iconId="1"/>
              <x14:cfIcon iconSet="3Arrows" iconId="2"/>
            </x14:iconSet>
          </x14:cfRule>
          <xm:sqref>E17</xm:sqref>
        </x14:conditionalFormatting>
        <x14:conditionalFormatting xmlns:xm="http://schemas.microsoft.com/office/excel/2006/main">
          <x14:cfRule type="iconSet" priority="101" id="{66773A54-D29F-4AEB-BE02-580BDE581B6E}">
            <x14:iconSet custom="1">
              <x14:cfvo type="percent">
                <xm:f>0</xm:f>
              </x14:cfvo>
              <x14:cfvo type="num">
                <xm:f>$F$18</xm:f>
              </x14:cfvo>
              <x14:cfvo type="num" gte="0">
                <xm:f>$F$18</xm:f>
              </x14:cfvo>
              <x14:cfIcon iconSet="3Arrows" iconId="0"/>
              <x14:cfIcon iconSet="3Arrows" iconId="1"/>
              <x14:cfIcon iconSet="3Arrows" iconId="2"/>
            </x14:iconSet>
          </x14:cfRule>
          <xm:sqref>E18</xm:sqref>
        </x14:conditionalFormatting>
        <x14:conditionalFormatting xmlns:xm="http://schemas.microsoft.com/office/excel/2006/main">
          <x14:cfRule type="iconSet" priority="100" id="{278DD012-62EC-42ED-8292-470E6CFEAE81}">
            <x14:iconSet custom="1">
              <x14:cfvo type="percent">
                <xm:f>0</xm:f>
              </x14:cfvo>
              <x14:cfvo type="num">
                <xm:f>$F$19</xm:f>
              </x14:cfvo>
              <x14:cfvo type="num" gte="0">
                <xm:f>$F$19</xm:f>
              </x14:cfvo>
              <x14:cfIcon iconSet="3Arrows" iconId="0"/>
              <x14:cfIcon iconSet="3Arrows" iconId="1"/>
              <x14:cfIcon iconSet="3Arrows" iconId="2"/>
            </x14:iconSet>
          </x14:cfRule>
          <xm:sqref>E19</xm:sqref>
        </x14:conditionalFormatting>
        <x14:conditionalFormatting xmlns:xm="http://schemas.microsoft.com/office/excel/2006/main">
          <x14:cfRule type="iconSet" priority="99" id="{0EE0C136-8227-46F0-8664-4B7663C44DC5}">
            <x14:iconSet custom="1">
              <x14:cfvo type="percent">
                <xm:f>0</xm:f>
              </x14:cfvo>
              <x14:cfvo type="num">
                <xm:f>$F$20</xm:f>
              </x14:cfvo>
              <x14:cfvo type="num" gte="0">
                <xm:f>$F$20</xm:f>
              </x14:cfvo>
              <x14:cfIcon iconSet="3Arrows" iconId="0"/>
              <x14:cfIcon iconSet="3Arrows" iconId="1"/>
              <x14:cfIcon iconSet="3Arrows" iconId="2"/>
            </x14:iconSet>
          </x14:cfRule>
          <xm:sqref>E20</xm:sqref>
        </x14:conditionalFormatting>
        <x14:conditionalFormatting xmlns:xm="http://schemas.microsoft.com/office/excel/2006/main">
          <x14:cfRule type="iconSet" priority="98" id="{0BB5B0A4-971F-4B15-844F-0AC84E9F2298}">
            <x14:iconSet custom="1">
              <x14:cfvo type="percent">
                <xm:f>0</xm:f>
              </x14:cfvo>
              <x14:cfvo type="num">
                <xm:f>$F$21</xm:f>
              </x14:cfvo>
              <x14:cfvo type="num" gte="0">
                <xm:f>$F$21</xm:f>
              </x14:cfvo>
              <x14:cfIcon iconSet="3Arrows" iconId="0"/>
              <x14:cfIcon iconSet="3Arrows" iconId="1"/>
              <x14:cfIcon iconSet="3Arrows" iconId="2"/>
            </x14:iconSet>
          </x14:cfRule>
          <xm:sqref>E21</xm:sqref>
        </x14:conditionalFormatting>
        <x14:conditionalFormatting xmlns:xm="http://schemas.microsoft.com/office/excel/2006/main">
          <x14:cfRule type="iconSet" priority="97" id="{D7CA19FB-D39A-46BD-8E09-C248A6DAC0A2}">
            <x14:iconSet custom="1">
              <x14:cfvo type="percent">
                <xm:f>0</xm:f>
              </x14:cfvo>
              <x14:cfvo type="num">
                <xm:f>$F$22</xm:f>
              </x14:cfvo>
              <x14:cfvo type="num" gte="0">
                <xm:f>$F$22</xm:f>
              </x14:cfvo>
              <x14:cfIcon iconSet="3Arrows" iconId="0"/>
              <x14:cfIcon iconSet="3Arrows" iconId="1"/>
              <x14:cfIcon iconSet="3Arrows" iconId="2"/>
            </x14:iconSet>
          </x14:cfRule>
          <xm:sqref>E22</xm:sqref>
        </x14:conditionalFormatting>
        <x14:conditionalFormatting xmlns:xm="http://schemas.microsoft.com/office/excel/2006/main">
          <x14:cfRule type="iconSet" priority="96" id="{41B49499-D2E8-477B-91FB-4E256EA0529E}">
            <x14:iconSet custom="1">
              <x14:cfvo type="percent">
                <xm:f>0</xm:f>
              </x14:cfvo>
              <x14:cfvo type="num">
                <xm:f>$F$23</xm:f>
              </x14:cfvo>
              <x14:cfvo type="num" gte="0">
                <xm:f>$F$23</xm:f>
              </x14:cfvo>
              <x14:cfIcon iconSet="3Arrows" iconId="0"/>
              <x14:cfIcon iconSet="3Arrows" iconId="1"/>
              <x14:cfIcon iconSet="3Arrows" iconId="2"/>
            </x14:iconSet>
          </x14:cfRule>
          <xm:sqref>E23</xm:sqref>
        </x14:conditionalFormatting>
        <x14:conditionalFormatting xmlns:xm="http://schemas.microsoft.com/office/excel/2006/main">
          <x14:cfRule type="iconSet" priority="95" id="{1373B14B-4D6A-48CA-8BF5-4F5D4EECC3DD}">
            <x14:iconSet custom="1">
              <x14:cfvo type="percent">
                <xm:f>0</xm:f>
              </x14:cfvo>
              <x14:cfvo type="num">
                <xm:f>$F$24</xm:f>
              </x14:cfvo>
              <x14:cfvo type="num" gte="0">
                <xm:f>$F$24</xm:f>
              </x14:cfvo>
              <x14:cfIcon iconSet="3Arrows" iconId="0"/>
              <x14:cfIcon iconSet="3Arrows" iconId="1"/>
              <x14:cfIcon iconSet="3Arrows" iconId="2"/>
            </x14:iconSet>
          </x14:cfRule>
          <xm:sqref>E24</xm:sqref>
        </x14:conditionalFormatting>
        <x14:conditionalFormatting xmlns:xm="http://schemas.microsoft.com/office/excel/2006/main">
          <x14:cfRule type="iconSet" priority="94" id="{730E29C0-D49F-4E9C-B957-F2D6D3C7D152}">
            <x14:iconSet custom="1">
              <x14:cfvo type="percent">
                <xm:f>0</xm:f>
              </x14:cfvo>
              <x14:cfvo type="num">
                <xm:f>$F$25</xm:f>
              </x14:cfvo>
              <x14:cfvo type="num" gte="0">
                <xm:f>$F$25</xm:f>
              </x14:cfvo>
              <x14:cfIcon iconSet="3Arrows" iconId="0"/>
              <x14:cfIcon iconSet="3Arrows" iconId="1"/>
              <x14:cfIcon iconSet="3Arrows" iconId="2"/>
            </x14:iconSet>
          </x14:cfRule>
          <xm:sqref>E25</xm:sqref>
        </x14:conditionalFormatting>
        <x14:conditionalFormatting xmlns:xm="http://schemas.microsoft.com/office/excel/2006/main">
          <x14:cfRule type="iconSet" priority="93" id="{BC9E7A79-EB45-4CAD-8393-BDB5A5E19D65}">
            <x14:iconSet custom="1">
              <x14:cfvo type="percent">
                <xm:f>0</xm:f>
              </x14:cfvo>
              <x14:cfvo type="num">
                <xm:f>$F$26</xm:f>
              </x14:cfvo>
              <x14:cfvo type="num" gte="0">
                <xm:f>$F$26</xm:f>
              </x14:cfvo>
              <x14:cfIcon iconSet="3Arrows" iconId="0"/>
              <x14:cfIcon iconSet="3Arrows" iconId="1"/>
              <x14:cfIcon iconSet="3Arrows" iconId="2"/>
            </x14:iconSet>
          </x14:cfRule>
          <xm:sqref>E26</xm:sqref>
        </x14:conditionalFormatting>
        <x14:conditionalFormatting xmlns:xm="http://schemas.microsoft.com/office/excel/2006/main">
          <x14:cfRule type="iconSet" priority="92" id="{8DAE9910-1935-4727-8C5E-51F0F680DE94}">
            <x14:iconSet custom="1">
              <x14:cfvo type="percent">
                <xm:f>0</xm:f>
              </x14:cfvo>
              <x14:cfvo type="num">
                <xm:f>$F$27</xm:f>
              </x14:cfvo>
              <x14:cfvo type="num" gte="0">
                <xm:f>$F$27</xm:f>
              </x14:cfvo>
              <x14:cfIcon iconSet="3Arrows" iconId="0"/>
              <x14:cfIcon iconSet="3Arrows" iconId="1"/>
              <x14:cfIcon iconSet="3Arrows" iconId="2"/>
            </x14:iconSet>
          </x14:cfRule>
          <xm:sqref>E27</xm:sqref>
        </x14:conditionalFormatting>
        <x14:conditionalFormatting xmlns:xm="http://schemas.microsoft.com/office/excel/2006/main">
          <x14:cfRule type="iconSet" priority="91" id="{9FD6510E-3E2B-4ADD-BF55-243050F545A9}">
            <x14:iconSet custom="1">
              <x14:cfvo type="percent">
                <xm:f>0</xm:f>
              </x14:cfvo>
              <x14:cfvo type="num">
                <xm:f>$F$28</xm:f>
              </x14:cfvo>
              <x14:cfvo type="num" gte="0">
                <xm:f>$F$28</xm:f>
              </x14:cfvo>
              <x14:cfIcon iconSet="3Arrows" iconId="0"/>
              <x14:cfIcon iconSet="3Arrows" iconId="1"/>
              <x14:cfIcon iconSet="3Arrows" iconId="2"/>
            </x14:iconSet>
          </x14:cfRule>
          <xm:sqref>E28</xm:sqref>
        </x14:conditionalFormatting>
        <x14:conditionalFormatting xmlns:xm="http://schemas.microsoft.com/office/excel/2006/main">
          <x14:cfRule type="iconSet" priority="90" id="{44BC3A72-85CE-45F7-8600-81E26E2DA366}">
            <x14:iconSet custom="1">
              <x14:cfvo type="percent">
                <xm:f>0</xm:f>
              </x14:cfvo>
              <x14:cfvo type="num">
                <xm:f>$F$29</xm:f>
              </x14:cfvo>
              <x14:cfvo type="num" gte="0">
                <xm:f>$F$29</xm:f>
              </x14:cfvo>
              <x14:cfIcon iconSet="3Arrows" iconId="0"/>
              <x14:cfIcon iconSet="3Arrows" iconId="1"/>
              <x14:cfIcon iconSet="3Arrows" iconId="2"/>
            </x14:iconSet>
          </x14:cfRule>
          <xm:sqref>E29</xm:sqref>
        </x14:conditionalFormatting>
        <x14:conditionalFormatting xmlns:xm="http://schemas.microsoft.com/office/excel/2006/main">
          <x14:cfRule type="iconSet" priority="89" id="{FF3067F7-1AA6-4B8D-9B28-6B907C1CE2CE}">
            <x14:iconSet custom="1">
              <x14:cfvo type="percent">
                <xm:f>0</xm:f>
              </x14:cfvo>
              <x14:cfvo type="num">
                <xm:f>$F$30</xm:f>
              </x14:cfvo>
              <x14:cfvo type="num" gte="0">
                <xm:f>$F$30</xm:f>
              </x14:cfvo>
              <x14:cfIcon iconSet="3Arrows" iconId="0"/>
              <x14:cfIcon iconSet="3Arrows" iconId="1"/>
              <x14:cfIcon iconSet="3Arrows" iconId="2"/>
            </x14:iconSet>
          </x14:cfRule>
          <xm:sqref>E30</xm:sqref>
        </x14:conditionalFormatting>
        <x14:conditionalFormatting xmlns:xm="http://schemas.microsoft.com/office/excel/2006/main">
          <x14:cfRule type="iconSet" priority="88" id="{F197B45C-1F8B-420E-8529-1B65C5B35721}">
            <x14:iconSet custom="1">
              <x14:cfvo type="percent">
                <xm:f>0</xm:f>
              </x14:cfvo>
              <x14:cfvo type="num">
                <xm:f>$F$31</xm:f>
              </x14:cfvo>
              <x14:cfvo type="num" gte="0">
                <xm:f>$F$31</xm:f>
              </x14:cfvo>
              <x14:cfIcon iconSet="3Arrows" iconId="0"/>
              <x14:cfIcon iconSet="3Arrows" iconId="1"/>
              <x14:cfIcon iconSet="3Arrows" iconId="2"/>
            </x14:iconSet>
          </x14:cfRule>
          <xm:sqref>E31</xm:sqref>
        </x14:conditionalFormatting>
        <x14:conditionalFormatting xmlns:xm="http://schemas.microsoft.com/office/excel/2006/main">
          <x14:cfRule type="iconSet" priority="87" id="{6B512AF4-419B-4B70-8491-968FBD4CF1CD}">
            <x14:iconSet custom="1">
              <x14:cfvo type="percent">
                <xm:f>0</xm:f>
              </x14:cfvo>
              <x14:cfvo type="num">
                <xm:f>$F$32</xm:f>
              </x14:cfvo>
              <x14:cfvo type="num" gte="0">
                <xm:f>$F$32</xm:f>
              </x14:cfvo>
              <x14:cfIcon iconSet="3Arrows" iconId="0"/>
              <x14:cfIcon iconSet="3Arrows" iconId="1"/>
              <x14:cfIcon iconSet="3Arrows" iconId="2"/>
            </x14:iconSet>
          </x14:cfRule>
          <xm:sqref>E32</xm:sqref>
        </x14:conditionalFormatting>
        <x14:conditionalFormatting xmlns:xm="http://schemas.microsoft.com/office/excel/2006/main">
          <x14:cfRule type="iconSet" priority="86" id="{E3B37777-73AE-4B07-B849-AD706C1C1C64}">
            <x14:iconSet custom="1">
              <x14:cfvo type="percent">
                <xm:f>0</xm:f>
              </x14:cfvo>
              <x14:cfvo type="num">
                <xm:f>$F$33</xm:f>
              </x14:cfvo>
              <x14:cfvo type="num" gte="0">
                <xm:f>$F$33</xm:f>
              </x14:cfvo>
              <x14:cfIcon iconSet="3Arrows" iconId="0"/>
              <x14:cfIcon iconSet="3Arrows" iconId="1"/>
              <x14:cfIcon iconSet="3Arrows" iconId="2"/>
            </x14:iconSet>
          </x14:cfRule>
          <xm:sqref>E33</xm:sqref>
        </x14:conditionalFormatting>
        <x14:conditionalFormatting xmlns:xm="http://schemas.microsoft.com/office/excel/2006/main">
          <x14:cfRule type="iconSet" priority="85" id="{603F6D2B-10B9-48F4-9400-699AD2C57FAE}">
            <x14:iconSet custom="1">
              <x14:cfvo type="percent">
                <xm:f>0</xm:f>
              </x14:cfvo>
              <x14:cfvo type="num">
                <xm:f>$F$34</xm:f>
              </x14:cfvo>
              <x14:cfvo type="num" gte="0">
                <xm:f>$F$34</xm:f>
              </x14:cfvo>
              <x14:cfIcon iconSet="3Arrows" iconId="0"/>
              <x14:cfIcon iconSet="3Arrows" iconId="1"/>
              <x14:cfIcon iconSet="3Arrows" iconId="2"/>
            </x14:iconSet>
          </x14:cfRule>
          <xm:sqref>E34</xm:sqref>
        </x14:conditionalFormatting>
        <x14:conditionalFormatting xmlns:xm="http://schemas.microsoft.com/office/excel/2006/main">
          <x14:cfRule type="iconSet" priority="84" id="{6FF414E2-CAD0-44CF-A4E6-1E20EB64B4B4}">
            <x14:iconSet custom="1">
              <x14:cfvo type="percent">
                <xm:f>0</xm:f>
              </x14:cfvo>
              <x14:cfvo type="num">
                <xm:f>$F$35</xm:f>
              </x14:cfvo>
              <x14:cfvo type="num" gte="0">
                <xm:f>$F$35</xm:f>
              </x14:cfvo>
              <x14:cfIcon iconSet="3Arrows" iconId="0"/>
              <x14:cfIcon iconSet="3Arrows" iconId="1"/>
              <x14:cfIcon iconSet="3Arrows" iconId="2"/>
            </x14:iconSet>
          </x14:cfRule>
          <xm:sqref>E35</xm:sqref>
        </x14:conditionalFormatting>
        <x14:conditionalFormatting xmlns:xm="http://schemas.microsoft.com/office/excel/2006/main">
          <x14:cfRule type="iconSet" priority="83" id="{F4A4CD37-030B-4511-9B1B-D5AADBFC101D}">
            <x14:iconSet custom="1">
              <x14:cfvo type="percent">
                <xm:f>0</xm:f>
              </x14:cfvo>
              <x14:cfvo type="num">
                <xm:f>$F$36</xm:f>
              </x14:cfvo>
              <x14:cfvo type="num" gte="0">
                <xm:f>$F$36</xm:f>
              </x14:cfvo>
              <x14:cfIcon iconSet="3Arrows" iconId="0"/>
              <x14:cfIcon iconSet="3Arrows" iconId="1"/>
              <x14:cfIcon iconSet="3Arrows" iconId="2"/>
            </x14:iconSet>
          </x14:cfRule>
          <xm:sqref>E36</xm:sqref>
        </x14:conditionalFormatting>
        <x14:conditionalFormatting xmlns:xm="http://schemas.microsoft.com/office/excel/2006/main">
          <x14:cfRule type="iconSet" priority="82" id="{F19881B3-43E9-4471-A252-4B2A51CBCD31}">
            <x14:iconSet custom="1">
              <x14:cfvo type="percent">
                <xm:f>0</xm:f>
              </x14:cfvo>
              <x14:cfvo type="num">
                <xm:f>$F$37</xm:f>
              </x14:cfvo>
              <x14:cfvo type="num" gte="0">
                <xm:f>$F$37</xm:f>
              </x14:cfvo>
              <x14:cfIcon iconSet="3Arrows" iconId="0"/>
              <x14:cfIcon iconSet="3Arrows" iconId="1"/>
              <x14:cfIcon iconSet="3Arrows" iconId="2"/>
            </x14:iconSet>
          </x14:cfRule>
          <xm:sqref>E37</xm:sqref>
        </x14:conditionalFormatting>
        <x14:conditionalFormatting xmlns:xm="http://schemas.microsoft.com/office/excel/2006/main">
          <x14:cfRule type="iconSet" priority="81" id="{80EEEC25-9BF4-4C89-A8AB-4F7E6E168BCD}">
            <x14:iconSet custom="1">
              <x14:cfvo type="percent">
                <xm:f>0</xm:f>
              </x14:cfvo>
              <x14:cfvo type="num">
                <xm:f>$F$38</xm:f>
              </x14:cfvo>
              <x14:cfvo type="num" gte="0">
                <xm:f>$F$38</xm:f>
              </x14:cfvo>
              <x14:cfIcon iconSet="3Arrows" iconId="0"/>
              <x14:cfIcon iconSet="3Arrows" iconId="1"/>
              <x14:cfIcon iconSet="3Arrows" iconId="2"/>
            </x14:iconSet>
          </x14:cfRule>
          <xm:sqref>E38</xm:sqref>
        </x14:conditionalFormatting>
        <x14:conditionalFormatting xmlns:xm="http://schemas.microsoft.com/office/excel/2006/main">
          <x14:cfRule type="iconSet" priority="80" id="{7C81A8F6-ED2D-4578-A49D-AF07D121F153}">
            <x14:iconSet custom="1">
              <x14:cfvo type="percent">
                <xm:f>0</xm:f>
              </x14:cfvo>
              <x14:cfvo type="num">
                <xm:f>$F$39</xm:f>
              </x14:cfvo>
              <x14:cfvo type="num" gte="0">
                <xm:f>$F$39</xm:f>
              </x14:cfvo>
              <x14:cfIcon iconSet="3Arrows" iconId="0"/>
              <x14:cfIcon iconSet="3Arrows" iconId="1"/>
              <x14:cfIcon iconSet="3Arrows" iconId="2"/>
            </x14:iconSet>
          </x14:cfRule>
          <xm:sqref>E39</xm:sqref>
        </x14:conditionalFormatting>
        <x14:conditionalFormatting xmlns:xm="http://schemas.microsoft.com/office/excel/2006/main">
          <x14:cfRule type="iconSet" priority="79" id="{D115FEF9-B82C-47B3-ABEB-0E4C2A340324}">
            <x14:iconSet custom="1">
              <x14:cfvo type="percent">
                <xm:f>0</xm:f>
              </x14:cfvo>
              <x14:cfvo type="num">
                <xm:f>$F$40</xm:f>
              </x14:cfvo>
              <x14:cfvo type="num" gte="0">
                <xm:f>$F$40</xm:f>
              </x14:cfvo>
              <x14:cfIcon iconSet="3Arrows" iconId="0"/>
              <x14:cfIcon iconSet="3Arrows" iconId="1"/>
              <x14:cfIcon iconSet="3Arrows" iconId="2"/>
            </x14:iconSet>
          </x14:cfRule>
          <xm:sqref>E40</xm:sqref>
        </x14:conditionalFormatting>
        <x14:conditionalFormatting xmlns:xm="http://schemas.microsoft.com/office/excel/2006/main">
          <x14:cfRule type="iconSet" priority="78" id="{57BA762F-B822-4B52-A545-CA80EEC468CD}">
            <x14:iconSet custom="1">
              <x14:cfvo type="percent">
                <xm:f>0</xm:f>
              </x14:cfvo>
              <x14:cfvo type="num">
                <xm:f>$F$41</xm:f>
              </x14:cfvo>
              <x14:cfvo type="num" gte="0">
                <xm:f>$F$41</xm:f>
              </x14:cfvo>
              <x14:cfIcon iconSet="3Arrows" iconId="0"/>
              <x14:cfIcon iconSet="3Arrows" iconId="1"/>
              <x14:cfIcon iconSet="3Arrows" iconId="2"/>
            </x14:iconSet>
          </x14:cfRule>
          <xm:sqref>E41</xm:sqref>
        </x14:conditionalFormatting>
        <x14:conditionalFormatting xmlns:xm="http://schemas.microsoft.com/office/excel/2006/main">
          <x14:cfRule type="iconSet" priority="77" id="{62B51293-EA02-4458-8A86-83C2C89E7020}">
            <x14:iconSet custom="1">
              <x14:cfvo type="percent">
                <xm:f>0</xm:f>
              </x14:cfvo>
              <x14:cfvo type="num">
                <xm:f>$F$42</xm:f>
              </x14:cfvo>
              <x14:cfvo type="num" gte="0">
                <xm:f>$F$42</xm:f>
              </x14:cfvo>
              <x14:cfIcon iconSet="3Arrows" iconId="0"/>
              <x14:cfIcon iconSet="3Arrows" iconId="1"/>
              <x14:cfIcon iconSet="3Arrows" iconId="2"/>
            </x14:iconSet>
          </x14:cfRule>
          <xm:sqref>E42</xm:sqref>
        </x14:conditionalFormatting>
        <x14:conditionalFormatting xmlns:xm="http://schemas.microsoft.com/office/excel/2006/main">
          <x14:cfRule type="iconSet" priority="76" id="{9164AEBB-2D61-477A-8001-CE3CA401A7BA}">
            <x14:iconSet custom="1">
              <x14:cfvo type="percent">
                <xm:f>0</xm:f>
              </x14:cfvo>
              <x14:cfvo type="num">
                <xm:f>$F$43</xm:f>
              </x14:cfvo>
              <x14:cfvo type="num" gte="0">
                <xm:f>$F$43</xm:f>
              </x14:cfvo>
              <x14:cfIcon iconSet="3Arrows" iconId="0"/>
              <x14:cfIcon iconSet="3Arrows" iconId="1"/>
              <x14:cfIcon iconSet="3Arrows" iconId="2"/>
            </x14:iconSet>
          </x14:cfRule>
          <xm:sqref>E43</xm:sqref>
        </x14:conditionalFormatting>
        <x14:conditionalFormatting xmlns:xm="http://schemas.microsoft.com/office/excel/2006/main">
          <x14:cfRule type="iconSet" priority="75" id="{8DCA06F2-4CAC-4489-B1BD-7947C5CBD3CA}">
            <x14:iconSet custom="1">
              <x14:cfvo type="percent">
                <xm:f>0</xm:f>
              </x14:cfvo>
              <x14:cfvo type="num">
                <xm:f>$F$44</xm:f>
              </x14:cfvo>
              <x14:cfvo type="num" gte="0">
                <xm:f>$F$44</xm:f>
              </x14:cfvo>
              <x14:cfIcon iconSet="3Arrows" iconId="0"/>
              <x14:cfIcon iconSet="3Arrows" iconId="1"/>
              <x14:cfIcon iconSet="3Arrows" iconId="2"/>
            </x14:iconSet>
          </x14:cfRule>
          <xm:sqref>E44</xm:sqref>
        </x14:conditionalFormatting>
        <x14:conditionalFormatting xmlns:xm="http://schemas.microsoft.com/office/excel/2006/main">
          <x14:cfRule type="iconSet" priority="74" id="{2BB1D489-73F4-4D12-9821-373CBF99D257}">
            <x14:iconSet custom="1">
              <x14:cfvo type="percent">
                <xm:f>0</xm:f>
              </x14:cfvo>
              <x14:cfvo type="num">
                <xm:f>$F$45</xm:f>
              </x14:cfvo>
              <x14:cfvo type="num" gte="0">
                <xm:f>$F$45</xm:f>
              </x14:cfvo>
              <x14:cfIcon iconSet="3Arrows" iconId="0"/>
              <x14:cfIcon iconSet="3Arrows" iconId="1"/>
              <x14:cfIcon iconSet="3Arrows" iconId="2"/>
            </x14:iconSet>
          </x14:cfRule>
          <xm:sqref>E45</xm:sqref>
        </x14:conditionalFormatting>
        <x14:conditionalFormatting xmlns:xm="http://schemas.microsoft.com/office/excel/2006/main">
          <x14:cfRule type="iconSet" priority="73" id="{5B0C4E8F-F7B7-4EBD-9B6F-F93B4B5C680C}">
            <x14:iconSet custom="1">
              <x14:cfvo type="percent">
                <xm:f>0</xm:f>
              </x14:cfvo>
              <x14:cfvo type="num">
                <xm:f>$F$46</xm:f>
              </x14:cfvo>
              <x14:cfvo type="num" gte="0">
                <xm:f>$F$46</xm:f>
              </x14:cfvo>
              <x14:cfIcon iconSet="3Arrows" iconId="0"/>
              <x14:cfIcon iconSet="3Arrows" iconId="1"/>
              <x14:cfIcon iconSet="3Arrows" iconId="2"/>
            </x14:iconSet>
          </x14:cfRule>
          <xm:sqref>E46</xm:sqref>
        </x14:conditionalFormatting>
        <x14:conditionalFormatting xmlns:xm="http://schemas.microsoft.com/office/excel/2006/main">
          <x14:cfRule type="iconSet" priority="72" id="{2C3B677E-97A7-4223-836C-D863F871721C}">
            <x14:iconSet custom="1">
              <x14:cfvo type="percent">
                <xm:f>0</xm:f>
              </x14:cfvo>
              <x14:cfvo type="num">
                <xm:f>$F$47</xm:f>
              </x14:cfvo>
              <x14:cfvo type="num" gte="0">
                <xm:f>$F$47</xm:f>
              </x14:cfvo>
              <x14:cfIcon iconSet="3Arrows" iconId="0"/>
              <x14:cfIcon iconSet="3Arrows" iconId="1"/>
              <x14:cfIcon iconSet="3Arrows" iconId="2"/>
            </x14:iconSet>
          </x14:cfRule>
          <xm:sqref>E47</xm:sqref>
        </x14:conditionalFormatting>
        <x14:conditionalFormatting xmlns:xm="http://schemas.microsoft.com/office/excel/2006/main">
          <x14:cfRule type="iconSet" priority="71" id="{7D003441-8FE7-4745-9942-8A0C3BB190C9}">
            <x14:iconSet custom="1">
              <x14:cfvo type="percent">
                <xm:f>0</xm:f>
              </x14:cfvo>
              <x14:cfvo type="num">
                <xm:f>$F$48</xm:f>
              </x14:cfvo>
              <x14:cfvo type="num" gte="0">
                <xm:f>$F$48</xm:f>
              </x14:cfvo>
              <x14:cfIcon iconSet="3Arrows" iconId="0"/>
              <x14:cfIcon iconSet="3Arrows" iconId="1"/>
              <x14:cfIcon iconSet="3Arrows" iconId="2"/>
            </x14:iconSet>
          </x14:cfRule>
          <xm:sqref>E48</xm:sqref>
        </x14:conditionalFormatting>
        <x14:conditionalFormatting xmlns:xm="http://schemas.microsoft.com/office/excel/2006/main">
          <x14:cfRule type="iconSet" priority="70" id="{2CE2EA7A-79C1-4B11-A1F0-CC0953D4C296}">
            <x14:iconSet custom="1">
              <x14:cfvo type="percent">
                <xm:f>0</xm:f>
              </x14:cfvo>
              <x14:cfvo type="num">
                <xm:f>$F$49</xm:f>
              </x14:cfvo>
              <x14:cfvo type="num" gte="0">
                <xm:f>$F$49</xm:f>
              </x14:cfvo>
              <x14:cfIcon iconSet="3Arrows" iconId="0"/>
              <x14:cfIcon iconSet="3Arrows" iconId="1"/>
              <x14:cfIcon iconSet="3Arrows" iconId="2"/>
            </x14:iconSet>
          </x14:cfRule>
          <xm:sqref>E49</xm:sqref>
        </x14:conditionalFormatting>
        <x14:conditionalFormatting xmlns:xm="http://schemas.microsoft.com/office/excel/2006/main">
          <x14:cfRule type="iconSet" priority="69" id="{0EC5E66B-C84D-47FF-A821-974B5BB95AA0}">
            <x14:iconSet custom="1">
              <x14:cfvo type="percent">
                <xm:f>0</xm:f>
              </x14:cfvo>
              <x14:cfvo type="num">
                <xm:f>$F$50</xm:f>
              </x14:cfvo>
              <x14:cfvo type="num" gte="0">
                <xm:f>$F$50</xm:f>
              </x14:cfvo>
              <x14:cfIcon iconSet="3Arrows" iconId="0"/>
              <x14:cfIcon iconSet="3Arrows" iconId="1"/>
              <x14:cfIcon iconSet="3Arrows" iconId="2"/>
            </x14:iconSet>
          </x14:cfRule>
          <xm:sqref>E50</xm:sqref>
        </x14:conditionalFormatting>
        <x14:conditionalFormatting xmlns:xm="http://schemas.microsoft.com/office/excel/2006/main">
          <x14:cfRule type="iconSet" priority="68" id="{2B7F2865-9B6B-482C-B336-2B157CBE20E9}">
            <x14:iconSet custom="1">
              <x14:cfvo type="percent">
                <xm:f>0</xm:f>
              </x14:cfvo>
              <x14:cfvo type="num">
                <xm:f>$F$51</xm:f>
              </x14:cfvo>
              <x14:cfvo type="num" gte="0">
                <xm:f>$F$51</xm:f>
              </x14:cfvo>
              <x14:cfIcon iconSet="3Arrows" iconId="0"/>
              <x14:cfIcon iconSet="3Arrows" iconId="1"/>
              <x14:cfIcon iconSet="3Arrows" iconId="2"/>
            </x14:iconSet>
          </x14:cfRule>
          <xm:sqref>E51</xm:sqref>
        </x14:conditionalFormatting>
        <x14:conditionalFormatting xmlns:xm="http://schemas.microsoft.com/office/excel/2006/main">
          <x14:cfRule type="iconSet" priority="67" id="{D7AD6011-A981-4787-BFAE-0BF8ED312CFD}">
            <x14:iconSet custom="1">
              <x14:cfvo type="percent">
                <xm:f>0</xm:f>
              </x14:cfvo>
              <x14:cfvo type="num">
                <xm:f>$F$52</xm:f>
              </x14:cfvo>
              <x14:cfvo type="num" gte="0">
                <xm:f>$F$52</xm:f>
              </x14:cfvo>
              <x14:cfIcon iconSet="3Arrows" iconId="0"/>
              <x14:cfIcon iconSet="3Arrows" iconId="1"/>
              <x14:cfIcon iconSet="3Arrows" iconId="2"/>
            </x14:iconSet>
          </x14:cfRule>
          <xm:sqref>E52</xm:sqref>
        </x14:conditionalFormatting>
        <x14:conditionalFormatting xmlns:xm="http://schemas.microsoft.com/office/excel/2006/main">
          <x14:cfRule type="iconSet" priority="66" id="{BF6615B8-CD28-46C8-9E14-02DF4C2EF5D9}">
            <x14:iconSet custom="1">
              <x14:cfvo type="percent">
                <xm:f>0</xm:f>
              </x14:cfvo>
              <x14:cfvo type="num">
                <xm:f>$F$53</xm:f>
              </x14:cfvo>
              <x14:cfvo type="num" gte="0">
                <xm:f>$F$53</xm:f>
              </x14:cfvo>
              <x14:cfIcon iconSet="3Arrows" iconId="0"/>
              <x14:cfIcon iconSet="3Arrows" iconId="1"/>
              <x14:cfIcon iconSet="3Arrows" iconId="2"/>
            </x14:iconSet>
          </x14:cfRule>
          <xm:sqref>E53</xm:sqref>
        </x14:conditionalFormatting>
        <x14:conditionalFormatting xmlns:xm="http://schemas.microsoft.com/office/excel/2006/main">
          <x14:cfRule type="iconSet" priority="65" id="{CC624F01-F847-4214-8901-7A65A51E0896}">
            <x14:iconSet custom="1">
              <x14:cfvo type="percent">
                <xm:f>0</xm:f>
              </x14:cfvo>
              <x14:cfvo type="num">
                <xm:f>$F$54</xm:f>
              </x14:cfvo>
              <x14:cfvo type="num" gte="0">
                <xm:f>$F$54</xm:f>
              </x14:cfvo>
              <x14:cfIcon iconSet="3Arrows" iconId="0"/>
              <x14:cfIcon iconSet="3Arrows" iconId="1"/>
              <x14:cfIcon iconSet="3Arrows" iconId="2"/>
            </x14:iconSet>
          </x14:cfRule>
          <xm:sqref>E54</xm:sqref>
        </x14:conditionalFormatting>
        <x14:conditionalFormatting xmlns:xm="http://schemas.microsoft.com/office/excel/2006/main">
          <x14:cfRule type="iconSet" priority="64" id="{8977910B-2141-4957-A51B-BFA6B9969F6D}">
            <x14:iconSet custom="1">
              <x14:cfvo type="percent">
                <xm:f>0</xm:f>
              </x14:cfvo>
              <x14:cfvo type="num">
                <xm:f>$F$55</xm:f>
              </x14:cfvo>
              <x14:cfvo type="num" gte="0">
                <xm:f>$F$55</xm:f>
              </x14:cfvo>
              <x14:cfIcon iconSet="3Arrows" iconId="0"/>
              <x14:cfIcon iconSet="3Arrows" iconId="1"/>
              <x14:cfIcon iconSet="3Arrows" iconId="2"/>
            </x14:iconSet>
          </x14:cfRule>
          <xm:sqref>E55</xm:sqref>
        </x14:conditionalFormatting>
        <x14:conditionalFormatting xmlns:xm="http://schemas.microsoft.com/office/excel/2006/main">
          <x14:cfRule type="iconSet" priority="63" id="{DC159514-4D57-498B-B8F1-A54D5C36F418}">
            <x14:iconSet custom="1">
              <x14:cfvo type="percent">
                <xm:f>0</xm:f>
              </x14:cfvo>
              <x14:cfvo type="num">
                <xm:f>$F$56</xm:f>
              </x14:cfvo>
              <x14:cfvo type="num" gte="0">
                <xm:f>$F$56</xm:f>
              </x14:cfvo>
              <x14:cfIcon iconSet="3Arrows" iconId="0"/>
              <x14:cfIcon iconSet="3Arrows" iconId="1"/>
              <x14:cfIcon iconSet="3Arrows" iconId="2"/>
            </x14:iconSet>
          </x14:cfRule>
          <xm:sqref>E56</xm:sqref>
        </x14:conditionalFormatting>
        <x14:conditionalFormatting xmlns:xm="http://schemas.microsoft.com/office/excel/2006/main">
          <x14:cfRule type="iconSet" priority="62" id="{C87C4498-2BF5-4D8E-9A03-CEAA5D472EA4}">
            <x14:iconSet custom="1">
              <x14:cfvo type="percent">
                <xm:f>0</xm:f>
              </x14:cfvo>
              <x14:cfvo type="num">
                <xm:f>$F$57</xm:f>
              </x14:cfvo>
              <x14:cfvo type="num" gte="0">
                <xm:f>$F$57</xm:f>
              </x14:cfvo>
              <x14:cfIcon iconSet="3Arrows" iconId="0"/>
              <x14:cfIcon iconSet="3Arrows" iconId="1"/>
              <x14:cfIcon iconSet="3Arrows" iconId="2"/>
            </x14:iconSet>
          </x14:cfRule>
          <xm:sqref>E57</xm:sqref>
        </x14:conditionalFormatting>
        <x14:conditionalFormatting xmlns:xm="http://schemas.microsoft.com/office/excel/2006/main">
          <x14:cfRule type="iconSet" priority="61" id="{6E953C10-AEA9-4B2B-A94F-31D0ED7480D5}">
            <x14:iconSet custom="1">
              <x14:cfvo type="percent">
                <xm:f>0</xm:f>
              </x14:cfvo>
              <x14:cfvo type="num">
                <xm:f>$F$58</xm:f>
              </x14:cfvo>
              <x14:cfvo type="num" gte="0">
                <xm:f>$F$58</xm:f>
              </x14:cfvo>
              <x14:cfIcon iconSet="3Arrows" iconId="0"/>
              <x14:cfIcon iconSet="3Arrows" iconId="1"/>
              <x14:cfIcon iconSet="3Arrows" iconId="2"/>
            </x14:iconSet>
          </x14:cfRule>
          <xm:sqref>E58</xm:sqref>
        </x14:conditionalFormatting>
        <x14:conditionalFormatting xmlns:xm="http://schemas.microsoft.com/office/excel/2006/main">
          <x14:cfRule type="iconSet" priority="60" id="{870C35EE-89E3-44E9-B442-B19C5799D15E}">
            <x14:iconSet custom="1">
              <x14:cfvo type="percent">
                <xm:f>0</xm:f>
              </x14:cfvo>
              <x14:cfvo type="num">
                <xm:f>$F$59</xm:f>
              </x14:cfvo>
              <x14:cfvo type="num" gte="0">
                <xm:f>$F$59</xm:f>
              </x14:cfvo>
              <x14:cfIcon iconSet="3Arrows" iconId="0"/>
              <x14:cfIcon iconSet="3Arrows" iconId="1"/>
              <x14:cfIcon iconSet="3Arrows" iconId="2"/>
            </x14:iconSet>
          </x14:cfRule>
          <xm:sqref>E59</xm:sqref>
        </x14:conditionalFormatting>
        <x14:conditionalFormatting xmlns:xm="http://schemas.microsoft.com/office/excel/2006/main">
          <x14:cfRule type="iconSet" priority="59" id="{8715CBA0-D385-4356-9213-0DE93624C5EC}">
            <x14:iconSet custom="1">
              <x14:cfvo type="percent">
                <xm:f>0</xm:f>
              </x14:cfvo>
              <x14:cfvo type="num">
                <xm:f>$F$60</xm:f>
              </x14:cfvo>
              <x14:cfvo type="num" gte="0">
                <xm:f>$F$60</xm:f>
              </x14:cfvo>
              <x14:cfIcon iconSet="3Arrows" iconId="0"/>
              <x14:cfIcon iconSet="3Arrows" iconId="1"/>
              <x14:cfIcon iconSet="3Arrows" iconId="2"/>
            </x14:iconSet>
          </x14:cfRule>
          <xm:sqref>E60</xm:sqref>
        </x14:conditionalFormatting>
        <x14:conditionalFormatting xmlns:xm="http://schemas.microsoft.com/office/excel/2006/main">
          <x14:cfRule type="iconSet" priority="58" id="{2F99C0DB-02AD-4EC1-A98F-862461877FBA}">
            <x14:iconSet custom="1">
              <x14:cfvo type="percent">
                <xm:f>0</xm:f>
              </x14:cfvo>
              <x14:cfvo type="num">
                <xm:f>$F$61</xm:f>
              </x14:cfvo>
              <x14:cfvo type="num" gte="0">
                <xm:f>$F$61</xm:f>
              </x14:cfvo>
              <x14:cfIcon iconSet="3Arrows" iconId="0"/>
              <x14:cfIcon iconSet="3Arrows" iconId="1"/>
              <x14:cfIcon iconSet="3Arrows" iconId="2"/>
            </x14:iconSet>
          </x14:cfRule>
          <xm:sqref>E61</xm:sqref>
        </x14:conditionalFormatting>
        <x14:conditionalFormatting xmlns:xm="http://schemas.microsoft.com/office/excel/2006/main">
          <x14:cfRule type="iconSet" priority="57" id="{4399FC5D-FB73-4B78-ABE9-AA8EBC6DDBA5}">
            <x14:iconSet custom="1">
              <x14:cfvo type="percent">
                <xm:f>0</xm:f>
              </x14:cfvo>
              <x14:cfvo type="num">
                <xm:f>$F$62</xm:f>
              </x14:cfvo>
              <x14:cfvo type="num" gte="0">
                <xm:f>$F$62</xm:f>
              </x14:cfvo>
              <x14:cfIcon iconSet="3Arrows" iconId="0"/>
              <x14:cfIcon iconSet="3Arrows" iconId="1"/>
              <x14:cfIcon iconSet="3Arrows" iconId="2"/>
            </x14:iconSet>
          </x14:cfRule>
          <xm:sqref>E62</xm:sqref>
        </x14:conditionalFormatting>
        <x14:conditionalFormatting xmlns:xm="http://schemas.microsoft.com/office/excel/2006/main">
          <x14:cfRule type="iconSet" priority="56" id="{FD83D371-DAD2-46B0-9BE7-8B4A960B9A2C}">
            <x14:iconSet custom="1">
              <x14:cfvo type="percent">
                <xm:f>0</xm:f>
              </x14:cfvo>
              <x14:cfvo type="num">
                <xm:f>$F$63</xm:f>
              </x14:cfvo>
              <x14:cfvo type="num" gte="0">
                <xm:f>$F$63</xm:f>
              </x14:cfvo>
              <x14:cfIcon iconSet="3Arrows" iconId="0"/>
              <x14:cfIcon iconSet="3Arrows" iconId="1"/>
              <x14:cfIcon iconSet="3Arrows" iconId="2"/>
            </x14:iconSet>
          </x14:cfRule>
          <xm:sqref>E63</xm:sqref>
        </x14:conditionalFormatting>
        <x14:conditionalFormatting xmlns:xm="http://schemas.microsoft.com/office/excel/2006/main">
          <x14:cfRule type="iconSet" priority="55" id="{FD6B5B5B-BE19-474E-ABE8-2C1F435CB25D}">
            <x14:iconSet custom="1">
              <x14:cfvo type="percent">
                <xm:f>0</xm:f>
              </x14:cfvo>
              <x14:cfvo type="num">
                <xm:f>$F$64</xm:f>
              </x14:cfvo>
              <x14:cfvo type="num" gte="0">
                <xm:f>$F$64</xm:f>
              </x14:cfvo>
              <x14:cfIcon iconSet="3Arrows" iconId="0"/>
              <x14:cfIcon iconSet="3Arrows" iconId="1"/>
              <x14:cfIcon iconSet="3Arrows" iconId="2"/>
            </x14:iconSet>
          </x14:cfRule>
          <xm:sqref>E64</xm:sqref>
        </x14:conditionalFormatting>
        <x14:conditionalFormatting xmlns:xm="http://schemas.microsoft.com/office/excel/2006/main">
          <x14:cfRule type="iconSet" priority="54" id="{E46C1348-1B27-4D07-88FB-D600120E62AB}">
            <x14:iconSet custom="1">
              <x14:cfvo type="percent">
                <xm:f>0</xm:f>
              </x14:cfvo>
              <x14:cfvo type="num">
                <xm:f>$F$65</xm:f>
              </x14:cfvo>
              <x14:cfvo type="num" gte="0">
                <xm:f>$F$65</xm:f>
              </x14:cfvo>
              <x14:cfIcon iconSet="3Arrows" iconId="0"/>
              <x14:cfIcon iconSet="3Arrows" iconId="1"/>
              <x14:cfIcon iconSet="3Arrows" iconId="2"/>
            </x14:iconSet>
          </x14:cfRule>
          <xm:sqref>E65</xm:sqref>
        </x14:conditionalFormatting>
        <x14:conditionalFormatting xmlns:xm="http://schemas.microsoft.com/office/excel/2006/main">
          <x14:cfRule type="iconSet" priority="53" id="{0DA00DEF-1C67-44C0-9BD2-8C5908B1390F}">
            <x14:iconSet custom="1">
              <x14:cfvo type="percent">
                <xm:f>0</xm:f>
              </x14:cfvo>
              <x14:cfvo type="num">
                <xm:f>$F$66</xm:f>
              </x14:cfvo>
              <x14:cfvo type="num" gte="0">
                <xm:f>$F$66</xm:f>
              </x14:cfvo>
              <x14:cfIcon iconSet="3Arrows" iconId="0"/>
              <x14:cfIcon iconSet="3Arrows" iconId="1"/>
              <x14:cfIcon iconSet="3Arrows" iconId="2"/>
            </x14:iconSet>
          </x14:cfRule>
          <xm:sqref>E66</xm:sqref>
        </x14:conditionalFormatting>
        <x14:conditionalFormatting xmlns:xm="http://schemas.microsoft.com/office/excel/2006/main">
          <x14:cfRule type="iconSet" priority="52" id="{5206B11C-B492-4518-8BDB-752B58BB3BEA}">
            <x14:iconSet custom="1">
              <x14:cfvo type="percent">
                <xm:f>0</xm:f>
              </x14:cfvo>
              <x14:cfvo type="num">
                <xm:f>$F$67</xm:f>
              </x14:cfvo>
              <x14:cfvo type="num" gte="0">
                <xm:f>$F$67</xm:f>
              </x14:cfvo>
              <x14:cfIcon iconSet="3Arrows" iconId="0"/>
              <x14:cfIcon iconSet="3Arrows" iconId="1"/>
              <x14:cfIcon iconSet="3Arrows" iconId="2"/>
            </x14:iconSet>
          </x14:cfRule>
          <xm:sqref>E67</xm:sqref>
        </x14:conditionalFormatting>
        <x14:conditionalFormatting xmlns:xm="http://schemas.microsoft.com/office/excel/2006/main">
          <x14:cfRule type="iconSet" priority="51" id="{A3A91BD0-8330-4FA8-85A9-2C7C457DDCA7}">
            <x14:iconSet custom="1">
              <x14:cfvo type="percent">
                <xm:f>0</xm:f>
              </x14:cfvo>
              <x14:cfvo type="num">
                <xm:f>$F$68</xm:f>
              </x14:cfvo>
              <x14:cfvo type="num" gte="0">
                <xm:f>$F$68</xm:f>
              </x14:cfvo>
              <x14:cfIcon iconSet="3Arrows" iconId="0"/>
              <x14:cfIcon iconSet="3Arrows" iconId="1"/>
              <x14:cfIcon iconSet="3Arrows" iconId="2"/>
            </x14:iconSet>
          </x14:cfRule>
          <xm:sqref>E68</xm:sqref>
        </x14:conditionalFormatting>
        <x14:conditionalFormatting xmlns:xm="http://schemas.microsoft.com/office/excel/2006/main">
          <x14:cfRule type="iconSet" priority="50" id="{25FD02F2-BC33-4C59-B9C8-B4B4071F13FE}">
            <x14:iconSet custom="1">
              <x14:cfvo type="percent">
                <xm:f>0</xm:f>
              </x14:cfvo>
              <x14:cfvo type="num">
                <xm:f>$F$69</xm:f>
              </x14:cfvo>
              <x14:cfvo type="num" gte="0">
                <xm:f>$F$69</xm:f>
              </x14:cfvo>
              <x14:cfIcon iconSet="3Arrows" iconId="0"/>
              <x14:cfIcon iconSet="3Arrows" iconId="1"/>
              <x14:cfIcon iconSet="3Arrows" iconId="2"/>
            </x14:iconSet>
          </x14:cfRule>
          <xm:sqref>E69</xm:sqref>
        </x14:conditionalFormatting>
        <x14:conditionalFormatting xmlns:xm="http://schemas.microsoft.com/office/excel/2006/main">
          <x14:cfRule type="iconSet" priority="49" id="{8B6EEA3C-D103-4DD4-A64C-6B9769BB1428}">
            <x14:iconSet custom="1">
              <x14:cfvo type="percent">
                <xm:f>0</xm:f>
              </x14:cfvo>
              <x14:cfvo type="num">
                <xm:f>$F$70</xm:f>
              </x14:cfvo>
              <x14:cfvo type="num" gte="0">
                <xm:f>$F$70</xm:f>
              </x14:cfvo>
              <x14:cfIcon iconSet="3Arrows" iconId="0"/>
              <x14:cfIcon iconSet="3Arrows" iconId="1"/>
              <x14:cfIcon iconSet="3Arrows" iconId="2"/>
            </x14:iconSet>
          </x14:cfRule>
          <xm:sqref>E70</xm:sqref>
        </x14:conditionalFormatting>
        <x14:conditionalFormatting xmlns:xm="http://schemas.microsoft.com/office/excel/2006/main">
          <x14:cfRule type="iconSet" priority="48" id="{A5EADFD1-8957-4F21-9DDF-2A647BFFFE03}">
            <x14:iconSet custom="1">
              <x14:cfvo type="percent">
                <xm:f>0</xm:f>
              </x14:cfvo>
              <x14:cfvo type="num">
                <xm:f>$F$71</xm:f>
              </x14:cfvo>
              <x14:cfvo type="num" gte="0">
                <xm:f>$F$71</xm:f>
              </x14:cfvo>
              <x14:cfIcon iconSet="3Arrows" iconId="0"/>
              <x14:cfIcon iconSet="3Arrows" iconId="1"/>
              <x14:cfIcon iconSet="3Arrows" iconId="2"/>
            </x14:iconSet>
          </x14:cfRule>
          <xm:sqref>E71</xm:sqref>
        </x14:conditionalFormatting>
        <x14:conditionalFormatting xmlns:xm="http://schemas.microsoft.com/office/excel/2006/main">
          <x14:cfRule type="iconSet" priority="47" id="{8E78663A-B42A-43E6-865F-4FE06E8722D7}">
            <x14:iconSet custom="1">
              <x14:cfvo type="percent">
                <xm:f>0</xm:f>
              </x14:cfvo>
              <x14:cfvo type="num">
                <xm:f>$F$72</xm:f>
              </x14:cfvo>
              <x14:cfvo type="num" gte="0">
                <xm:f>$F$72</xm:f>
              </x14:cfvo>
              <x14:cfIcon iconSet="3Arrows" iconId="0"/>
              <x14:cfIcon iconSet="3Arrows" iconId="1"/>
              <x14:cfIcon iconSet="3Arrows" iconId="2"/>
            </x14:iconSet>
          </x14:cfRule>
          <xm:sqref>E72</xm:sqref>
        </x14:conditionalFormatting>
        <x14:conditionalFormatting xmlns:xm="http://schemas.microsoft.com/office/excel/2006/main">
          <x14:cfRule type="iconSet" priority="46" id="{C82EE52D-CD31-482D-9DFA-FC7C3703498E}">
            <x14:iconSet custom="1">
              <x14:cfvo type="percent">
                <xm:f>0</xm:f>
              </x14:cfvo>
              <x14:cfvo type="num">
                <xm:f>$F$73</xm:f>
              </x14:cfvo>
              <x14:cfvo type="num" gte="0">
                <xm:f>$F$73</xm:f>
              </x14:cfvo>
              <x14:cfIcon iconSet="3Arrows" iconId="0"/>
              <x14:cfIcon iconSet="3Arrows" iconId="1"/>
              <x14:cfIcon iconSet="3Arrows" iconId="2"/>
            </x14:iconSet>
          </x14:cfRule>
          <xm:sqref>E73</xm:sqref>
        </x14:conditionalFormatting>
        <x14:conditionalFormatting xmlns:xm="http://schemas.microsoft.com/office/excel/2006/main">
          <x14:cfRule type="iconSet" priority="45" id="{D466D727-8756-4DAF-9A83-DF8A769EF29D}">
            <x14:iconSet custom="1">
              <x14:cfvo type="percent">
                <xm:f>0</xm:f>
              </x14:cfvo>
              <x14:cfvo type="num">
                <xm:f>$F$74</xm:f>
              </x14:cfvo>
              <x14:cfvo type="num" gte="0">
                <xm:f>$F$74</xm:f>
              </x14:cfvo>
              <x14:cfIcon iconSet="3Arrows" iconId="0"/>
              <x14:cfIcon iconSet="3Arrows" iconId="1"/>
              <x14:cfIcon iconSet="3Arrows" iconId="2"/>
            </x14:iconSet>
          </x14:cfRule>
          <xm:sqref>E74</xm:sqref>
        </x14:conditionalFormatting>
        <x14:conditionalFormatting xmlns:xm="http://schemas.microsoft.com/office/excel/2006/main">
          <x14:cfRule type="iconSet" priority="44" id="{061BBF2A-E847-41E2-AD16-736BE8977B2E}">
            <x14:iconSet custom="1">
              <x14:cfvo type="percent">
                <xm:f>0</xm:f>
              </x14:cfvo>
              <x14:cfvo type="num">
                <xm:f>$F$75</xm:f>
              </x14:cfvo>
              <x14:cfvo type="num" gte="0">
                <xm:f>$F$75</xm:f>
              </x14:cfvo>
              <x14:cfIcon iconSet="3Arrows" iconId="0"/>
              <x14:cfIcon iconSet="3Arrows" iconId="1"/>
              <x14:cfIcon iconSet="3Arrows" iconId="2"/>
            </x14:iconSet>
          </x14:cfRule>
          <xm:sqref>E75</xm:sqref>
        </x14:conditionalFormatting>
        <x14:conditionalFormatting xmlns:xm="http://schemas.microsoft.com/office/excel/2006/main">
          <x14:cfRule type="iconSet" priority="43" id="{447B9216-E0D1-4A4D-8C35-9E4CE03A9B37}">
            <x14:iconSet custom="1">
              <x14:cfvo type="percent">
                <xm:f>0</xm:f>
              </x14:cfvo>
              <x14:cfvo type="num">
                <xm:f>$F$76</xm:f>
              </x14:cfvo>
              <x14:cfvo type="num" gte="0">
                <xm:f>$F$76</xm:f>
              </x14:cfvo>
              <x14:cfIcon iconSet="3Arrows" iconId="0"/>
              <x14:cfIcon iconSet="3Arrows" iconId="1"/>
              <x14:cfIcon iconSet="3Arrows" iconId="2"/>
            </x14:iconSet>
          </x14:cfRule>
          <xm:sqref>E76</xm:sqref>
        </x14:conditionalFormatting>
        <x14:conditionalFormatting xmlns:xm="http://schemas.microsoft.com/office/excel/2006/main">
          <x14:cfRule type="iconSet" priority="42" id="{522ECFA7-9706-4444-BB5D-42851B2C5528}">
            <x14:iconSet custom="1">
              <x14:cfvo type="percent">
                <xm:f>0</xm:f>
              </x14:cfvo>
              <x14:cfvo type="num">
                <xm:f>$F$77</xm:f>
              </x14:cfvo>
              <x14:cfvo type="num" gte="0">
                <xm:f>$F$77</xm:f>
              </x14:cfvo>
              <x14:cfIcon iconSet="3Arrows" iconId="0"/>
              <x14:cfIcon iconSet="3Arrows" iconId="1"/>
              <x14:cfIcon iconSet="3Arrows" iconId="2"/>
            </x14:iconSet>
          </x14:cfRule>
          <xm:sqref>E77</xm:sqref>
        </x14:conditionalFormatting>
        <x14:conditionalFormatting xmlns:xm="http://schemas.microsoft.com/office/excel/2006/main">
          <x14:cfRule type="iconSet" priority="41" id="{93A332C5-F684-4A3E-8495-8480DFCB2F37}">
            <x14:iconSet custom="1">
              <x14:cfvo type="percent">
                <xm:f>0</xm:f>
              </x14:cfvo>
              <x14:cfvo type="num">
                <xm:f>$F$78</xm:f>
              </x14:cfvo>
              <x14:cfvo type="num" gte="0">
                <xm:f>$F$78</xm:f>
              </x14:cfvo>
              <x14:cfIcon iconSet="3Arrows" iconId="0"/>
              <x14:cfIcon iconSet="3Arrows" iconId="1"/>
              <x14:cfIcon iconSet="3Arrows" iconId="2"/>
            </x14:iconSet>
          </x14:cfRule>
          <xm:sqref>E78</xm:sqref>
        </x14:conditionalFormatting>
        <x14:conditionalFormatting xmlns:xm="http://schemas.microsoft.com/office/excel/2006/main">
          <x14:cfRule type="iconSet" priority="40" id="{A0CF5F8A-A38B-4F87-BBF3-2FCD3D63791F}">
            <x14:iconSet custom="1">
              <x14:cfvo type="percent">
                <xm:f>0</xm:f>
              </x14:cfvo>
              <x14:cfvo type="num">
                <xm:f>$F$79</xm:f>
              </x14:cfvo>
              <x14:cfvo type="num" gte="0">
                <xm:f>$F$79</xm:f>
              </x14:cfvo>
              <x14:cfIcon iconSet="3Arrows" iconId="0"/>
              <x14:cfIcon iconSet="3Arrows" iconId="1"/>
              <x14:cfIcon iconSet="3Arrows" iconId="2"/>
            </x14:iconSet>
          </x14:cfRule>
          <xm:sqref>E79</xm:sqref>
        </x14:conditionalFormatting>
        <x14:conditionalFormatting xmlns:xm="http://schemas.microsoft.com/office/excel/2006/main">
          <x14:cfRule type="iconSet" priority="39" id="{864E34DE-E235-405A-B32B-4CF7A566496E}">
            <x14:iconSet custom="1">
              <x14:cfvo type="percent">
                <xm:f>0</xm:f>
              </x14:cfvo>
              <x14:cfvo type="num">
                <xm:f>$F$80</xm:f>
              </x14:cfvo>
              <x14:cfvo type="num" gte="0">
                <xm:f>$F$80</xm:f>
              </x14:cfvo>
              <x14:cfIcon iconSet="3Arrows" iconId="0"/>
              <x14:cfIcon iconSet="3Arrows" iconId="1"/>
              <x14:cfIcon iconSet="3Arrows" iconId="2"/>
            </x14:iconSet>
          </x14:cfRule>
          <xm:sqref>E80</xm:sqref>
        </x14:conditionalFormatting>
        <x14:conditionalFormatting xmlns:xm="http://schemas.microsoft.com/office/excel/2006/main">
          <x14:cfRule type="iconSet" priority="38" id="{253DC6CC-9DF9-4455-8DE0-6915D0E33DF0}">
            <x14:iconSet custom="1">
              <x14:cfvo type="percent">
                <xm:f>0</xm:f>
              </x14:cfvo>
              <x14:cfvo type="num">
                <xm:f>$F$81</xm:f>
              </x14:cfvo>
              <x14:cfvo type="num" gte="0">
                <xm:f>$F$81</xm:f>
              </x14:cfvo>
              <x14:cfIcon iconSet="3Arrows" iconId="0"/>
              <x14:cfIcon iconSet="3Arrows" iconId="1"/>
              <x14:cfIcon iconSet="3Arrows" iconId="2"/>
            </x14:iconSet>
          </x14:cfRule>
          <xm:sqref>E81</xm:sqref>
        </x14:conditionalFormatting>
        <x14:conditionalFormatting xmlns:xm="http://schemas.microsoft.com/office/excel/2006/main">
          <x14:cfRule type="iconSet" priority="37" id="{958DC774-DC83-47EB-B49C-4614D55181B8}">
            <x14:iconSet custom="1">
              <x14:cfvo type="percent">
                <xm:f>0</xm:f>
              </x14:cfvo>
              <x14:cfvo type="num">
                <xm:f>$F$82</xm:f>
              </x14:cfvo>
              <x14:cfvo type="num" gte="0">
                <xm:f>$F$82</xm:f>
              </x14:cfvo>
              <x14:cfIcon iconSet="3Arrows" iconId="0"/>
              <x14:cfIcon iconSet="3Arrows" iconId="1"/>
              <x14:cfIcon iconSet="3Arrows" iconId="2"/>
            </x14:iconSet>
          </x14:cfRule>
          <xm:sqref>E82</xm:sqref>
        </x14:conditionalFormatting>
        <x14:conditionalFormatting xmlns:xm="http://schemas.microsoft.com/office/excel/2006/main">
          <x14:cfRule type="iconSet" priority="36" id="{F27B1749-E1E2-4321-B023-A2362ABEBE7E}">
            <x14:iconSet custom="1">
              <x14:cfvo type="percent">
                <xm:f>0</xm:f>
              </x14:cfvo>
              <x14:cfvo type="num">
                <xm:f>$F$83</xm:f>
              </x14:cfvo>
              <x14:cfvo type="num" gte="0">
                <xm:f>$F$83</xm:f>
              </x14:cfvo>
              <x14:cfIcon iconSet="3Arrows" iconId="0"/>
              <x14:cfIcon iconSet="3Arrows" iconId="1"/>
              <x14:cfIcon iconSet="3Arrows" iconId="2"/>
            </x14:iconSet>
          </x14:cfRule>
          <xm:sqref>E83</xm:sqref>
        </x14:conditionalFormatting>
        <x14:conditionalFormatting xmlns:xm="http://schemas.microsoft.com/office/excel/2006/main">
          <x14:cfRule type="iconSet" priority="35" id="{2D00BAA4-2019-4DF1-84A0-4B591D63EE4C}">
            <x14:iconSet custom="1">
              <x14:cfvo type="percent">
                <xm:f>0</xm:f>
              </x14:cfvo>
              <x14:cfvo type="num">
                <xm:f>$F$84</xm:f>
              </x14:cfvo>
              <x14:cfvo type="num" gte="0">
                <xm:f>$F$84</xm:f>
              </x14:cfvo>
              <x14:cfIcon iconSet="3Arrows" iconId="0"/>
              <x14:cfIcon iconSet="3Arrows" iconId="1"/>
              <x14:cfIcon iconSet="3Arrows" iconId="2"/>
            </x14:iconSet>
          </x14:cfRule>
          <xm:sqref>E84</xm:sqref>
        </x14:conditionalFormatting>
        <x14:conditionalFormatting xmlns:xm="http://schemas.microsoft.com/office/excel/2006/main">
          <x14:cfRule type="iconSet" priority="34" id="{FAE2386F-3999-4AD6-AFB4-B424768FED43}">
            <x14:iconSet custom="1">
              <x14:cfvo type="percent">
                <xm:f>0</xm:f>
              </x14:cfvo>
              <x14:cfvo type="num">
                <xm:f>$F$85</xm:f>
              </x14:cfvo>
              <x14:cfvo type="num" gte="0">
                <xm:f>$F$85</xm:f>
              </x14:cfvo>
              <x14:cfIcon iconSet="3Arrows" iconId="0"/>
              <x14:cfIcon iconSet="3Arrows" iconId="1"/>
              <x14:cfIcon iconSet="3Arrows" iconId="2"/>
            </x14:iconSet>
          </x14:cfRule>
          <xm:sqref>E85</xm:sqref>
        </x14:conditionalFormatting>
        <x14:conditionalFormatting xmlns:xm="http://schemas.microsoft.com/office/excel/2006/main">
          <x14:cfRule type="iconSet" priority="33" id="{64A70DAB-D4A2-4680-B34C-11660B0E71F9}">
            <x14:iconSet custom="1">
              <x14:cfvo type="percent">
                <xm:f>0</xm:f>
              </x14:cfvo>
              <x14:cfvo type="num">
                <xm:f>$F$86</xm:f>
              </x14:cfvo>
              <x14:cfvo type="num" gte="0">
                <xm:f>$F$86</xm:f>
              </x14:cfvo>
              <x14:cfIcon iconSet="3Arrows" iconId="0"/>
              <x14:cfIcon iconSet="3Arrows" iconId="1"/>
              <x14:cfIcon iconSet="3Arrows" iconId="2"/>
            </x14:iconSet>
          </x14:cfRule>
          <xm:sqref>E86</xm:sqref>
        </x14:conditionalFormatting>
        <x14:conditionalFormatting xmlns:xm="http://schemas.microsoft.com/office/excel/2006/main">
          <x14:cfRule type="iconSet" priority="32" id="{B32FDF83-7DFD-4CD6-9FB3-C192AF998110}">
            <x14:iconSet custom="1">
              <x14:cfvo type="percent">
                <xm:f>0</xm:f>
              </x14:cfvo>
              <x14:cfvo type="num">
                <xm:f>$F$87</xm:f>
              </x14:cfvo>
              <x14:cfvo type="num" gte="0">
                <xm:f>$F$87</xm:f>
              </x14:cfvo>
              <x14:cfIcon iconSet="3Arrows" iconId="0"/>
              <x14:cfIcon iconSet="3Arrows" iconId="1"/>
              <x14:cfIcon iconSet="3Arrows" iconId="2"/>
            </x14:iconSet>
          </x14:cfRule>
          <xm:sqref>E87</xm:sqref>
        </x14:conditionalFormatting>
        <x14:conditionalFormatting xmlns:xm="http://schemas.microsoft.com/office/excel/2006/main">
          <x14:cfRule type="iconSet" priority="31" id="{0FC2C5DC-9D7D-4D73-A711-E113301DD3A7}">
            <x14:iconSet custom="1">
              <x14:cfvo type="percent">
                <xm:f>0</xm:f>
              </x14:cfvo>
              <x14:cfvo type="num">
                <xm:f>$F$88</xm:f>
              </x14:cfvo>
              <x14:cfvo type="num" gte="0">
                <xm:f>$F$88</xm:f>
              </x14:cfvo>
              <x14:cfIcon iconSet="3Arrows" iconId="0"/>
              <x14:cfIcon iconSet="3Arrows" iconId="1"/>
              <x14:cfIcon iconSet="3Arrows" iconId="2"/>
            </x14:iconSet>
          </x14:cfRule>
          <xm:sqref>E88</xm:sqref>
        </x14:conditionalFormatting>
        <x14:conditionalFormatting xmlns:xm="http://schemas.microsoft.com/office/excel/2006/main">
          <x14:cfRule type="iconSet" priority="30" id="{8B31DF0F-995F-4234-BD98-714CF998C3AD}">
            <x14:iconSet custom="1">
              <x14:cfvo type="percent">
                <xm:f>0</xm:f>
              </x14:cfvo>
              <x14:cfvo type="num">
                <xm:f>$F$89</xm:f>
              </x14:cfvo>
              <x14:cfvo type="num" gte="0">
                <xm:f>$F$89</xm:f>
              </x14:cfvo>
              <x14:cfIcon iconSet="3Arrows" iconId="0"/>
              <x14:cfIcon iconSet="3Arrows" iconId="1"/>
              <x14:cfIcon iconSet="3Arrows" iconId="2"/>
            </x14:iconSet>
          </x14:cfRule>
          <xm:sqref>E89</xm:sqref>
        </x14:conditionalFormatting>
        <x14:conditionalFormatting xmlns:xm="http://schemas.microsoft.com/office/excel/2006/main">
          <x14:cfRule type="iconSet" priority="29" id="{EA84C0F0-7464-45F3-B3AB-5DD2A9660DF6}">
            <x14:iconSet custom="1">
              <x14:cfvo type="percent">
                <xm:f>0</xm:f>
              </x14:cfvo>
              <x14:cfvo type="num">
                <xm:f>$F$90</xm:f>
              </x14:cfvo>
              <x14:cfvo type="num" gte="0">
                <xm:f>$F$90</xm:f>
              </x14:cfvo>
              <x14:cfIcon iconSet="3Arrows" iconId="0"/>
              <x14:cfIcon iconSet="3Arrows" iconId="1"/>
              <x14:cfIcon iconSet="3Arrows" iconId="2"/>
            </x14:iconSet>
          </x14:cfRule>
          <xm:sqref>E90</xm:sqref>
        </x14:conditionalFormatting>
        <x14:conditionalFormatting xmlns:xm="http://schemas.microsoft.com/office/excel/2006/main">
          <x14:cfRule type="iconSet" priority="28" id="{54137025-2B3E-44F3-9E21-CF8B48109EE5}">
            <x14:iconSet custom="1">
              <x14:cfvo type="percent">
                <xm:f>0</xm:f>
              </x14:cfvo>
              <x14:cfvo type="num">
                <xm:f>$F$91</xm:f>
              </x14:cfvo>
              <x14:cfvo type="num" gte="0">
                <xm:f>$F$91</xm:f>
              </x14:cfvo>
              <x14:cfIcon iconSet="3Arrows" iconId="0"/>
              <x14:cfIcon iconSet="3Arrows" iconId="1"/>
              <x14:cfIcon iconSet="3Arrows" iconId="2"/>
            </x14:iconSet>
          </x14:cfRule>
          <xm:sqref>E91</xm:sqref>
        </x14:conditionalFormatting>
        <x14:conditionalFormatting xmlns:xm="http://schemas.microsoft.com/office/excel/2006/main">
          <x14:cfRule type="iconSet" priority="27" id="{8B97E90B-7596-4466-8213-0FE63CA184D3}">
            <x14:iconSet custom="1">
              <x14:cfvo type="percent">
                <xm:f>0</xm:f>
              </x14:cfvo>
              <x14:cfvo type="num">
                <xm:f>$F$92</xm:f>
              </x14:cfvo>
              <x14:cfvo type="num" gte="0">
                <xm:f>$F$92</xm:f>
              </x14:cfvo>
              <x14:cfIcon iconSet="3Arrows" iconId="0"/>
              <x14:cfIcon iconSet="3Arrows" iconId="1"/>
              <x14:cfIcon iconSet="3Arrows" iconId="2"/>
            </x14:iconSet>
          </x14:cfRule>
          <xm:sqref>E92</xm:sqref>
        </x14:conditionalFormatting>
        <x14:conditionalFormatting xmlns:xm="http://schemas.microsoft.com/office/excel/2006/main">
          <x14:cfRule type="iconSet" priority="26" id="{7BC4E1C6-4041-48A0-8F14-C1F00EECAC53}">
            <x14:iconSet custom="1">
              <x14:cfvo type="percent">
                <xm:f>0</xm:f>
              </x14:cfvo>
              <x14:cfvo type="num">
                <xm:f>$F$93</xm:f>
              </x14:cfvo>
              <x14:cfvo type="num" gte="0">
                <xm:f>$F$93</xm:f>
              </x14:cfvo>
              <x14:cfIcon iconSet="3Arrows" iconId="0"/>
              <x14:cfIcon iconSet="3Arrows" iconId="1"/>
              <x14:cfIcon iconSet="3Arrows" iconId="2"/>
            </x14:iconSet>
          </x14:cfRule>
          <xm:sqref>E93</xm:sqref>
        </x14:conditionalFormatting>
        <x14:conditionalFormatting xmlns:xm="http://schemas.microsoft.com/office/excel/2006/main">
          <x14:cfRule type="iconSet" priority="25" id="{6C1843AD-1B73-459C-84CF-064BA8E6A0CF}">
            <x14:iconSet custom="1">
              <x14:cfvo type="percent">
                <xm:f>0</xm:f>
              </x14:cfvo>
              <x14:cfvo type="num">
                <xm:f>$F$94</xm:f>
              </x14:cfvo>
              <x14:cfvo type="num" gte="0">
                <xm:f>$F$94</xm:f>
              </x14:cfvo>
              <x14:cfIcon iconSet="3Arrows" iconId="0"/>
              <x14:cfIcon iconSet="3Arrows" iconId="1"/>
              <x14:cfIcon iconSet="3Arrows" iconId="2"/>
            </x14:iconSet>
          </x14:cfRule>
          <xm:sqref>E94</xm:sqref>
        </x14:conditionalFormatting>
        <x14:conditionalFormatting xmlns:xm="http://schemas.microsoft.com/office/excel/2006/main">
          <x14:cfRule type="iconSet" priority="24" id="{1EBA6FEF-E046-45F0-998B-169C9FB84E94}">
            <x14:iconSet custom="1">
              <x14:cfvo type="percent">
                <xm:f>0</xm:f>
              </x14:cfvo>
              <x14:cfvo type="num">
                <xm:f>$F$95</xm:f>
              </x14:cfvo>
              <x14:cfvo type="num" gte="0">
                <xm:f>$F$95</xm:f>
              </x14:cfvo>
              <x14:cfIcon iconSet="3Arrows" iconId="0"/>
              <x14:cfIcon iconSet="3Arrows" iconId="1"/>
              <x14:cfIcon iconSet="3Arrows" iconId="2"/>
            </x14:iconSet>
          </x14:cfRule>
          <xm:sqref>E95</xm:sqref>
        </x14:conditionalFormatting>
        <x14:conditionalFormatting xmlns:xm="http://schemas.microsoft.com/office/excel/2006/main">
          <x14:cfRule type="iconSet" priority="23" id="{26826A8A-6642-4995-B937-D79AFD7176CB}">
            <x14:iconSet custom="1">
              <x14:cfvo type="percent">
                <xm:f>0</xm:f>
              </x14:cfvo>
              <x14:cfvo type="num">
                <xm:f>$F$96</xm:f>
              </x14:cfvo>
              <x14:cfvo type="num" gte="0">
                <xm:f>$F$96</xm:f>
              </x14:cfvo>
              <x14:cfIcon iconSet="3Arrows" iconId="0"/>
              <x14:cfIcon iconSet="3Arrows" iconId="1"/>
              <x14:cfIcon iconSet="3Arrows" iconId="2"/>
            </x14:iconSet>
          </x14:cfRule>
          <xm:sqref>E96</xm:sqref>
        </x14:conditionalFormatting>
        <x14:conditionalFormatting xmlns:xm="http://schemas.microsoft.com/office/excel/2006/main">
          <x14:cfRule type="iconSet" priority="22" id="{39B94E1D-39A3-4A7B-A334-A758999C8E58}">
            <x14:iconSet custom="1">
              <x14:cfvo type="percent">
                <xm:f>0</xm:f>
              </x14:cfvo>
              <x14:cfvo type="num">
                <xm:f>$F$97</xm:f>
              </x14:cfvo>
              <x14:cfvo type="num" gte="0">
                <xm:f>$F$97</xm:f>
              </x14:cfvo>
              <x14:cfIcon iconSet="3Arrows" iconId="0"/>
              <x14:cfIcon iconSet="3Arrows" iconId="1"/>
              <x14:cfIcon iconSet="3Arrows" iconId="2"/>
            </x14:iconSet>
          </x14:cfRule>
          <xm:sqref>E97</xm:sqref>
        </x14:conditionalFormatting>
        <x14:conditionalFormatting xmlns:xm="http://schemas.microsoft.com/office/excel/2006/main">
          <x14:cfRule type="iconSet" priority="21" id="{19CFA327-A93F-459E-BDA0-88E5998E3EBA}">
            <x14:iconSet custom="1">
              <x14:cfvo type="percent">
                <xm:f>0</xm:f>
              </x14:cfvo>
              <x14:cfvo type="num">
                <xm:f>$F$98</xm:f>
              </x14:cfvo>
              <x14:cfvo type="num" gte="0">
                <xm:f>$F$98</xm:f>
              </x14:cfvo>
              <x14:cfIcon iconSet="3Arrows" iconId="0"/>
              <x14:cfIcon iconSet="3Arrows" iconId="1"/>
              <x14:cfIcon iconSet="3Arrows" iconId="2"/>
            </x14:iconSet>
          </x14:cfRule>
          <xm:sqref>E98</xm:sqref>
        </x14:conditionalFormatting>
        <x14:conditionalFormatting xmlns:xm="http://schemas.microsoft.com/office/excel/2006/main">
          <x14:cfRule type="iconSet" priority="20" id="{128F4BB6-4AAC-46B4-998A-9A94AE31E7F7}">
            <x14:iconSet custom="1">
              <x14:cfvo type="percent">
                <xm:f>0</xm:f>
              </x14:cfvo>
              <x14:cfvo type="num">
                <xm:f>$F$99</xm:f>
              </x14:cfvo>
              <x14:cfvo type="num" gte="0">
                <xm:f>$F$99</xm:f>
              </x14:cfvo>
              <x14:cfIcon iconSet="3Arrows" iconId="0"/>
              <x14:cfIcon iconSet="3Arrows" iconId="1"/>
              <x14:cfIcon iconSet="3Arrows" iconId="2"/>
            </x14:iconSet>
          </x14:cfRule>
          <xm:sqref>E99</xm:sqref>
        </x14:conditionalFormatting>
        <x14:conditionalFormatting xmlns:xm="http://schemas.microsoft.com/office/excel/2006/main">
          <x14:cfRule type="iconSet" priority="19" id="{0F0A4B7B-6A30-4FC9-9CC2-8FE4ECAB8A6E}">
            <x14:iconSet custom="1">
              <x14:cfvo type="percent">
                <xm:f>0</xm:f>
              </x14:cfvo>
              <x14:cfvo type="num">
                <xm:f>$F$100</xm:f>
              </x14:cfvo>
              <x14:cfvo type="num" gte="0">
                <xm:f>$F$100</xm:f>
              </x14:cfvo>
              <x14:cfIcon iconSet="3Arrows" iconId="0"/>
              <x14:cfIcon iconSet="3Arrows" iconId="1"/>
              <x14:cfIcon iconSet="3Arrows" iconId="2"/>
            </x14:iconSet>
          </x14:cfRule>
          <xm:sqref>E100</xm:sqref>
        </x14:conditionalFormatting>
        <x14:conditionalFormatting xmlns:xm="http://schemas.microsoft.com/office/excel/2006/main">
          <x14:cfRule type="iconSet" priority="18" id="{E53348F6-CE5D-4804-A5CD-D13DA9800082}">
            <x14:iconSet custom="1">
              <x14:cfvo type="percent">
                <xm:f>0</xm:f>
              </x14:cfvo>
              <x14:cfvo type="num">
                <xm:f>$F$101</xm:f>
              </x14:cfvo>
              <x14:cfvo type="num" gte="0">
                <xm:f>$F$101</xm:f>
              </x14:cfvo>
              <x14:cfIcon iconSet="3Arrows" iconId="0"/>
              <x14:cfIcon iconSet="3Arrows" iconId="1"/>
              <x14:cfIcon iconSet="3Arrows" iconId="2"/>
            </x14:iconSet>
          </x14:cfRule>
          <xm:sqref>E101</xm:sqref>
        </x14:conditionalFormatting>
        <x14:conditionalFormatting xmlns:xm="http://schemas.microsoft.com/office/excel/2006/main">
          <x14:cfRule type="iconSet" priority="17" id="{1DF5BD7C-FFDF-445F-90A6-951978D7E14F}">
            <x14:iconSet custom="1">
              <x14:cfvo type="percent">
                <xm:f>0</xm:f>
              </x14:cfvo>
              <x14:cfvo type="num">
                <xm:f>$F$102</xm:f>
              </x14:cfvo>
              <x14:cfvo type="num" gte="0">
                <xm:f>$F$102</xm:f>
              </x14:cfvo>
              <x14:cfIcon iconSet="3Arrows" iconId="0"/>
              <x14:cfIcon iconSet="3Arrows" iconId="1"/>
              <x14:cfIcon iconSet="3Arrows" iconId="2"/>
            </x14:iconSet>
          </x14:cfRule>
          <xm:sqref>E102</xm:sqref>
        </x14:conditionalFormatting>
        <x14:conditionalFormatting xmlns:xm="http://schemas.microsoft.com/office/excel/2006/main">
          <x14:cfRule type="iconSet" priority="16" id="{D009D120-0FF1-4D28-BCF3-EAE622D10539}">
            <x14:iconSet custom="1">
              <x14:cfvo type="percent">
                <xm:f>0</xm:f>
              </x14:cfvo>
              <x14:cfvo type="num">
                <xm:f>$F$103</xm:f>
              </x14:cfvo>
              <x14:cfvo type="num" gte="0">
                <xm:f>$F$103</xm:f>
              </x14:cfvo>
              <x14:cfIcon iconSet="3Arrows" iconId="0"/>
              <x14:cfIcon iconSet="3Arrows" iconId="1"/>
              <x14:cfIcon iconSet="3Arrows" iconId="2"/>
            </x14:iconSet>
          </x14:cfRule>
          <xm:sqref>E103</xm:sqref>
        </x14:conditionalFormatting>
        <x14:conditionalFormatting xmlns:xm="http://schemas.microsoft.com/office/excel/2006/main">
          <x14:cfRule type="iconSet" priority="15" id="{9F159EDA-13C7-484C-B675-4182DF4AA071}">
            <x14:iconSet custom="1">
              <x14:cfvo type="percent">
                <xm:f>0</xm:f>
              </x14:cfvo>
              <x14:cfvo type="num">
                <xm:f>$F$104</xm:f>
              </x14:cfvo>
              <x14:cfvo type="num" gte="0">
                <xm:f>$F$104</xm:f>
              </x14:cfvo>
              <x14:cfIcon iconSet="3Arrows" iconId="0"/>
              <x14:cfIcon iconSet="3Arrows" iconId="1"/>
              <x14:cfIcon iconSet="3Arrows" iconId="2"/>
            </x14:iconSet>
          </x14:cfRule>
          <xm:sqref>E104</xm:sqref>
        </x14:conditionalFormatting>
        <x14:conditionalFormatting xmlns:xm="http://schemas.microsoft.com/office/excel/2006/main">
          <x14:cfRule type="iconSet" priority="14" id="{BFF96C91-935E-499D-974D-6F36AAD53E98}">
            <x14:iconSet custom="1">
              <x14:cfvo type="percent">
                <xm:f>0</xm:f>
              </x14:cfvo>
              <x14:cfvo type="num">
                <xm:f>$F$105</xm:f>
              </x14:cfvo>
              <x14:cfvo type="num" gte="0">
                <xm:f>$F$105</xm:f>
              </x14:cfvo>
              <x14:cfIcon iconSet="3Arrows" iconId="0"/>
              <x14:cfIcon iconSet="3Arrows" iconId="1"/>
              <x14:cfIcon iconSet="3Arrows" iconId="2"/>
            </x14:iconSet>
          </x14:cfRule>
          <xm:sqref>E105</xm:sqref>
        </x14:conditionalFormatting>
        <x14:conditionalFormatting xmlns:xm="http://schemas.microsoft.com/office/excel/2006/main">
          <x14:cfRule type="iconSet" priority="13" id="{281397EB-DD55-4A53-A338-4B930E1CD939}">
            <x14:iconSet custom="1">
              <x14:cfvo type="percent">
                <xm:f>0</xm:f>
              </x14:cfvo>
              <x14:cfvo type="num">
                <xm:f>$F$106</xm:f>
              </x14:cfvo>
              <x14:cfvo type="num" gte="0">
                <xm:f>$F$106</xm:f>
              </x14:cfvo>
              <x14:cfIcon iconSet="3Arrows" iconId="0"/>
              <x14:cfIcon iconSet="3Arrows" iconId="1"/>
              <x14:cfIcon iconSet="3Arrows" iconId="2"/>
            </x14:iconSet>
          </x14:cfRule>
          <xm:sqref>E106</xm:sqref>
        </x14:conditionalFormatting>
        <x14:conditionalFormatting xmlns:xm="http://schemas.microsoft.com/office/excel/2006/main">
          <x14:cfRule type="iconSet" priority="12" id="{D1D40D7B-11BC-4500-AED9-7BB7C3177076}">
            <x14:iconSet custom="1">
              <x14:cfvo type="percent">
                <xm:f>0</xm:f>
              </x14:cfvo>
              <x14:cfvo type="num">
                <xm:f>$F$107</xm:f>
              </x14:cfvo>
              <x14:cfvo type="num" gte="0">
                <xm:f>$F$107</xm:f>
              </x14:cfvo>
              <x14:cfIcon iconSet="3Arrows" iconId="0"/>
              <x14:cfIcon iconSet="3Arrows" iconId="1"/>
              <x14:cfIcon iconSet="3Arrows" iconId="2"/>
            </x14:iconSet>
          </x14:cfRule>
          <xm:sqref>E107</xm:sqref>
        </x14:conditionalFormatting>
        <x14:conditionalFormatting xmlns:xm="http://schemas.microsoft.com/office/excel/2006/main">
          <x14:cfRule type="iconSet" priority="11" id="{19C82FE3-7FCC-492B-8A6B-93B4AA3A1ADA}">
            <x14:iconSet custom="1">
              <x14:cfvo type="percent">
                <xm:f>0</xm:f>
              </x14:cfvo>
              <x14:cfvo type="num">
                <xm:f>$F$108</xm:f>
              </x14:cfvo>
              <x14:cfvo type="num" gte="0">
                <xm:f>$F$108</xm:f>
              </x14:cfvo>
              <x14:cfIcon iconSet="3Arrows" iconId="0"/>
              <x14:cfIcon iconSet="3Arrows" iconId="1"/>
              <x14:cfIcon iconSet="3Arrows" iconId="2"/>
            </x14:iconSet>
          </x14:cfRule>
          <xm:sqref>E108</xm:sqref>
        </x14:conditionalFormatting>
        <x14:conditionalFormatting xmlns:xm="http://schemas.microsoft.com/office/excel/2006/main">
          <x14:cfRule type="iconSet" priority="10" id="{FAC80DA9-DF0D-4E62-9387-31E335CDBA34}">
            <x14:iconSet custom="1">
              <x14:cfvo type="percent">
                <xm:f>0</xm:f>
              </x14:cfvo>
              <x14:cfvo type="num">
                <xm:f>$F$109</xm:f>
              </x14:cfvo>
              <x14:cfvo type="num" gte="0">
                <xm:f>$F$109</xm:f>
              </x14:cfvo>
              <x14:cfIcon iconSet="3Arrows" iconId="0"/>
              <x14:cfIcon iconSet="3Arrows" iconId="1"/>
              <x14:cfIcon iconSet="3Arrows" iconId="2"/>
            </x14:iconSet>
          </x14:cfRule>
          <xm:sqref>E109</xm:sqref>
        </x14:conditionalFormatting>
        <x14:conditionalFormatting xmlns:xm="http://schemas.microsoft.com/office/excel/2006/main">
          <x14:cfRule type="iconSet" priority="9" id="{92A0786B-4E14-493D-9840-C0A6AB2B7258}">
            <x14:iconSet custom="1">
              <x14:cfvo type="percent">
                <xm:f>0</xm:f>
              </x14:cfvo>
              <x14:cfvo type="num">
                <xm:f>$F$110</xm:f>
              </x14:cfvo>
              <x14:cfvo type="num" gte="0">
                <xm:f>$F$110</xm:f>
              </x14:cfvo>
              <x14:cfIcon iconSet="3Arrows" iconId="0"/>
              <x14:cfIcon iconSet="3Arrows" iconId="1"/>
              <x14:cfIcon iconSet="3Arrows" iconId="2"/>
            </x14:iconSet>
          </x14:cfRule>
          <xm:sqref>E110</xm:sqref>
        </x14:conditionalFormatting>
        <x14:conditionalFormatting xmlns:xm="http://schemas.microsoft.com/office/excel/2006/main">
          <x14:cfRule type="iconSet" priority="8" id="{34E10A68-DE0E-42B1-B3FB-CC8825A0FEC2}">
            <x14:iconSet custom="1">
              <x14:cfvo type="percent">
                <xm:f>0</xm:f>
              </x14:cfvo>
              <x14:cfvo type="num">
                <xm:f>$F$111</xm:f>
              </x14:cfvo>
              <x14:cfvo type="num" gte="0">
                <xm:f>$F$111</xm:f>
              </x14:cfvo>
              <x14:cfIcon iconSet="3Arrows" iconId="0"/>
              <x14:cfIcon iconSet="3Arrows" iconId="1"/>
              <x14:cfIcon iconSet="3Arrows" iconId="2"/>
            </x14:iconSet>
          </x14:cfRule>
          <xm:sqref>E111</xm:sqref>
        </x14:conditionalFormatting>
        <x14:conditionalFormatting xmlns:xm="http://schemas.microsoft.com/office/excel/2006/main">
          <x14:cfRule type="iconSet" priority="7" id="{51185FA0-7B31-4B7C-964C-5CF8C33AA6E0}">
            <x14:iconSet custom="1">
              <x14:cfvo type="percent">
                <xm:f>0</xm:f>
              </x14:cfvo>
              <x14:cfvo type="num">
                <xm:f>$F$112</xm:f>
              </x14:cfvo>
              <x14:cfvo type="num" gte="0">
                <xm:f>$F$112</xm:f>
              </x14:cfvo>
              <x14:cfIcon iconSet="3Arrows" iconId="0"/>
              <x14:cfIcon iconSet="3Arrows" iconId="1"/>
              <x14:cfIcon iconSet="3Arrows" iconId="2"/>
            </x14:iconSet>
          </x14:cfRule>
          <xm:sqref>E112</xm:sqref>
        </x14:conditionalFormatting>
        <x14:conditionalFormatting xmlns:xm="http://schemas.microsoft.com/office/excel/2006/main">
          <x14:cfRule type="iconSet" priority="6" id="{7ACB95C6-3221-41E3-964E-AF1018B9F00F}">
            <x14:iconSet custom="1">
              <x14:cfvo type="percent">
                <xm:f>0</xm:f>
              </x14:cfvo>
              <x14:cfvo type="num">
                <xm:f>$F$113</xm:f>
              </x14:cfvo>
              <x14:cfvo type="num" gte="0">
                <xm:f>$F$113</xm:f>
              </x14:cfvo>
              <x14:cfIcon iconSet="3Arrows" iconId="0"/>
              <x14:cfIcon iconSet="3Arrows" iconId="1"/>
              <x14:cfIcon iconSet="3Arrows" iconId="2"/>
            </x14:iconSet>
          </x14:cfRule>
          <xm:sqref>E113</xm:sqref>
        </x14:conditionalFormatting>
        <x14:conditionalFormatting xmlns:xm="http://schemas.microsoft.com/office/excel/2006/main">
          <x14:cfRule type="iconSet" priority="5" id="{BF48CE1F-BC55-4CCE-BAE5-654C9D1646B4}">
            <x14:iconSet custom="1">
              <x14:cfvo type="percent">
                <xm:f>0</xm:f>
              </x14:cfvo>
              <x14:cfvo type="num">
                <xm:f>$F$114</xm:f>
              </x14:cfvo>
              <x14:cfvo type="num" gte="0">
                <xm:f>$F$114</xm:f>
              </x14:cfvo>
              <x14:cfIcon iconSet="3Arrows" iconId="0"/>
              <x14:cfIcon iconSet="3Arrows" iconId="1"/>
              <x14:cfIcon iconSet="3Arrows" iconId="2"/>
            </x14:iconSet>
          </x14:cfRule>
          <xm:sqref>E114</xm:sqref>
        </x14:conditionalFormatting>
        <x14:conditionalFormatting xmlns:xm="http://schemas.microsoft.com/office/excel/2006/main">
          <x14:cfRule type="iconSet" priority="4" id="{0A8CF437-A147-41E5-A7AB-CD040F2F76D6}">
            <x14:iconSet custom="1">
              <x14:cfvo type="percent">
                <xm:f>0</xm:f>
              </x14:cfvo>
              <x14:cfvo type="num">
                <xm:f>$F$115</xm:f>
              </x14:cfvo>
              <x14:cfvo type="num" gte="0">
                <xm:f>$F$115</xm:f>
              </x14:cfvo>
              <x14:cfIcon iconSet="3Arrows" iconId="0"/>
              <x14:cfIcon iconSet="3Arrows" iconId="1"/>
              <x14:cfIcon iconSet="3Arrows" iconId="2"/>
            </x14:iconSet>
          </x14:cfRule>
          <xm:sqref>E115</xm:sqref>
        </x14:conditionalFormatting>
        <x14:conditionalFormatting xmlns:xm="http://schemas.microsoft.com/office/excel/2006/main">
          <x14:cfRule type="iconSet" priority="3" id="{83E91B8B-471B-40B0-B336-34EA177E3E61}">
            <x14:iconSet custom="1">
              <x14:cfvo type="percent">
                <xm:f>0</xm:f>
              </x14:cfvo>
              <x14:cfvo type="num">
                <xm:f>$F$116</xm:f>
              </x14:cfvo>
              <x14:cfvo type="num" gte="0">
                <xm:f>$F$116</xm:f>
              </x14:cfvo>
              <x14:cfIcon iconSet="3Arrows" iconId="0"/>
              <x14:cfIcon iconSet="3Arrows" iconId="1"/>
              <x14:cfIcon iconSet="3Arrows" iconId="2"/>
            </x14:iconSet>
          </x14:cfRule>
          <xm:sqref>E116</xm:sqref>
        </x14:conditionalFormatting>
        <x14:conditionalFormatting xmlns:xm="http://schemas.microsoft.com/office/excel/2006/main">
          <x14:cfRule type="iconSet" priority="2" id="{F279E5B4-CEDF-412A-BDB8-88AA6E70A8F1}">
            <x14:iconSet custom="1">
              <x14:cfvo type="percent">
                <xm:f>0</xm:f>
              </x14:cfvo>
              <x14:cfvo type="num">
                <xm:f>$F$117</xm:f>
              </x14:cfvo>
              <x14:cfvo type="num" gte="0">
                <xm:f>$F$117</xm:f>
              </x14:cfvo>
              <x14:cfIcon iconSet="3Arrows" iconId="0"/>
              <x14:cfIcon iconSet="3Arrows" iconId="1"/>
              <x14:cfIcon iconSet="3Arrows" iconId="2"/>
            </x14:iconSet>
          </x14:cfRule>
          <xm:sqref>E117</xm:sqref>
        </x14:conditionalFormatting>
        <x14:conditionalFormatting xmlns:xm="http://schemas.microsoft.com/office/excel/2006/main">
          <x14:cfRule type="iconSet" priority="1" id="{D85D9711-4BD5-4C8A-B9F3-649146C9980C}">
            <x14:iconSet custom="1">
              <x14:cfvo type="percent">
                <xm:f>0</xm:f>
              </x14:cfvo>
              <x14:cfvo type="num">
                <xm:f>$F$118</xm:f>
              </x14:cfvo>
              <x14:cfvo type="num" gte="0">
                <xm:f>$F$118</xm:f>
              </x14:cfvo>
              <x14:cfIcon iconSet="3Arrows" iconId="0"/>
              <x14:cfIcon iconSet="3Arrows" iconId="1"/>
              <x14:cfIcon iconSet="3Arrows" iconId="2"/>
            </x14:iconSet>
          </x14:cfRule>
          <xm:sqref>E118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85"/>
  <sheetViews>
    <sheetView zoomScaleNormal="100" workbookViewId="0">
      <selection activeCell="M38" sqref="M38:T38"/>
    </sheetView>
  </sheetViews>
  <sheetFormatPr baseColWidth="10" defaultColWidth="11.5703125" defaultRowHeight="15" x14ac:dyDescent="0.25"/>
  <cols>
    <col min="1" max="1" width="5.7109375" style="270" customWidth="1"/>
    <col min="2" max="2" width="35.5703125" bestFit="1" customWidth="1"/>
    <col min="3" max="3" width="5" bestFit="1" customWidth="1"/>
    <col min="4" max="4" width="6" customWidth="1"/>
    <col min="5" max="24" width="11.42578125" customWidth="1"/>
  </cols>
  <sheetData>
    <row r="1" spans="1:20" x14ac:dyDescent="0.25">
      <c r="A1" s="269"/>
      <c r="B1" s="183"/>
      <c r="C1" s="183"/>
      <c r="D1" s="183"/>
      <c r="E1" s="338" t="s">
        <v>954</v>
      </c>
      <c r="F1" s="338"/>
      <c r="G1" s="338"/>
      <c r="H1" s="338"/>
      <c r="I1" s="338"/>
      <c r="J1" s="338"/>
      <c r="K1" s="338"/>
      <c r="L1" s="338"/>
      <c r="M1" s="338" t="s">
        <v>454</v>
      </c>
      <c r="N1" s="338"/>
      <c r="O1" s="338"/>
      <c r="P1" s="338"/>
      <c r="Q1" s="338"/>
      <c r="R1" s="338"/>
      <c r="S1" s="338"/>
      <c r="T1" s="338"/>
    </row>
    <row r="2" spans="1:20" x14ac:dyDescent="0.25">
      <c r="A2" s="269"/>
      <c r="B2" s="183"/>
      <c r="C2" s="271" t="s">
        <v>186</v>
      </c>
      <c r="D2" s="271" t="s">
        <v>187</v>
      </c>
      <c r="E2" s="183" t="s">
        <v>946</v>
      </c>
      <c r="F2" s="183" t="s">
        <v>947</v>
      </c>
      <c r="G2" s="183" t="s">
        <v>948</v>
      </c>
      <c r="H2" s="183" t="s">
        <v>949</v>
      </c>
      <c r="I2" s="183" t="s">
        <v>950</v>
      </c>
      <c r="J2" s="183" t="s">
        <v>951</v>
      </c>
      <c r="K2" s="183" t="s">
        <v>952</v>
      </c>
      <c r="L2" s="183" t="s">
        <v>953</v>
      </c>
      <c r="M2" s="183" t="s">
        <v>946</v>
      </c>
      <c r="N2" s="183" t="s">
        <v>947</v>
      </c>
      <c r="O2" s="183" t="s">
        <v>948</v>
      </c>
      <c r="P2" s="183" t="s">
        <v>949</v>
      </c>
      <c r="Q2" s="183" t="s">
        <v>950</v>
      </c>
      <c r="R2" s="183" t="s">
        <v>951</v>
      </c>
      <c r="S2" s="183" t="s">
        <v>952</v>
      </c>
      <c r="T2" s="183" t="s">
        <v>953</v>
      </c>
    </row>
    <row r="3" spans="1:20" x14ac:dyDescent="0.25">
      <c r="A3" s="339" t="s">
        <v>185</v>
      </c>
      <c r="B3" s="157" t="s">
        <v>189</v>
      </c>
      <c r="C3" s="157">
        <v>1000</v>
      </c>
      <c r="D3" s="157">
        <v>33800</v>
      </c>
      <c r="E3" s="27">
        <f>'Resource Management'!O3-'Resource Management'!N3</f>
        <v>0</v>
      </c>
      <c r="F3" s="27">
        <f>'Resource Management'!Q3-'Resource Management'!P3</f>
        <v>19</v>
      </c>
      <c r="G3" s="27">
        <f>'Resource Management'!S3-'Resource Management'!R3</f>
        <v>45</v>
      </c>
      <c r="H3" s="27">
        <f>'Resource Management'!U3-'Resource Management'!T3</f>
        <v>26</v>
      </c>
      <c r="I3" s="27">
        <f>'Resource Management'!W3-'Resource Management'!V3</f>
        <v>0</v>
      </c>
      <c r="J3" s="27">
        <f>'Resource Management'!Y3-'Resource Management'!X3</f>
        <v>-45</v>
      </c>
      <c r="K3" s="27">
        <f>'Resource Management'!AA3-'Resource Management'!Z3</f>
        <v>-29.74</v>
      </c>
      <c r="L3" s="27">
        <f>'Resource Management'!AC3-'Resource Management'!AB3</f>
        <v>-19.850000000000001</v>
      </c>
      <c r="M3" s="247">
        <f>IF(E3&gt;=0,E3*$C3,ABS(E3)*$D3)</f>
        <v>0</v>
      </c>
      <c r="N3" s="247">
        <f t="shared" ref="N3:T3" si="0">IF(F3&gt;=0,F3*$C3,ABS(F3)*$D3)</f>
        <v>19000</v>
      </c>
      <c r="O3" s="247">
        <f t="shared" si="0"/>
        <v>45000</v>
      </c>
      <c r="P3" s="247">
        <f t="shared" si="0"/>
        <v>26000</v>
      </c>
      <c r="Q3" s="247">
        <f t="shared" si="0"/>
        <v>0</v>
      </c>
      <c r="R3" s="247">
        <f t="shared" si="0"/>
        <v>1521000</v>
      </c>
      <c r="S3" s="247">
        <f t="shared" si="0"/>
        <v>1005212</v>
      </c>
      <c r="T3" s="247">
        <f t="shared" si="0"/>
        <v>670930</v>
      </c>
    </row>
    <row r="4" spans="1:20" x14ac:dyDescent="0.25">
      <c r="A4" s="340"/>
      <c r="B4" s="157" t="s">
        <v>191</v>
      </c>
      <c r="C4" s="157">
        <v>1000</v>
      </c>
      <c r="D4" s="157">
        <v>33800</v>
      </c>
      <c r="E4" s="27">
        <f>'Resource Management'!O4-'Resource Management'!N4</f>
        <v>0</v>
      </c>
      <c r="F4" s="27">
        <f>'Resource Management'!Q4-'Resource Management'!P4</f>
        <v>0</v>
      </c>
      <c r="G4" s="27">
        <f>'Resource Management'!S4-'Resource Management'!R4</f>
        <v>0</v>
      </c>
      <c r="H4" s="27">
        <f>'Resource Management'!U4-'Resource Management'!T4</f>
        <v>0</v>
      </c>
      <c r="I4" s="27">
        <f>'Resource Management'!W4-'Resource Management'!V4</f>
        <v>0</v>
      </c>
      <c r="J4" s="27">
        <f>'Resource Management'!Y4-'Resource Management'!X4</f>
        <v>-3</v>
      </c>
      <c r="K4" s="27">
        <f>'Resource Management'!AA4-'Resource Management'!Z4</f>
        <v>0</v>
      </c>
      <c r="L4" s="27">
        <f>'Resource Management'!AC4-'Resource Management'!AB4</f>
        <v>0</v>
      </c>
      <c r="M4" s="247">
        <f t="shared" ref="M4:M31" si="1">IF(E4&gt;=0,E4*$C4,ABS(E4)*$D4)</f>
        <v>0</v>
      </c>
      <c r="N4" s="247">
        <f t="shared" ref="N4:N31" si="2">IF(F4&gt;=0,F4*$C4,ABS(F4)*$D4)</f>
        <v>0</v>
      </c>
      <c r="O4" s="247">
        <f t="shared" ref="O4:O31" si="3">IF(G4&gt;=0,G4*$C4,ABS(G4)*$D4)</f>
        <v>0</v>
      </c>
      <c r="P4" s="247">
        <f t="shared" ref="P4:P31" si="4">IF(H4&gt;=0,H4*$C4,ABS(H4)*$D4)</f>
        <v>0</v>
      </c>
      <c r="Q4" s="247">
        <f t="shared" ref="Q4:Q31" si="5">IF(I4&gt;=0,I4*$C4,ABS(I4)*$D4)</f>
        <v>0</v>
      </c>
      <c r="R4" s="247">
        <f t="shared" ref="R4:R31" si="6">IF(J4&gt;=0,J4*$C4,ABS(J4)*$D4)</f>
        <v>101400</v>
      </c>
      <c r="S4" s="247">
        <f t="shared" ref="S4:S31" si="7">IF(K4&gt;=0,K4*$C4,ABS(K4)*$D4)</f>
        <v>0</v>
      </c>
      <c r="T4" s="247">
        <f t="shared" ref="T4:T31" si="8">IF(L4&gt;=0,L4*$C4,ABS(L4)*$D4)</f>
        <v>0</v>
      </c>
    </row>
    <row r="5" spans="1:20" x14ac:dyDescent="0.25">
      <c r="A5" s="340"/>
      <c r="B5" s="157" t="s">
        <v>192</v>
      </c>
      <c r="C5" s="157">
        <v>1000</v>
      </c>
      <c r="D5" s="157">
        <v>33800</v>
      </c>
      <c r="E5" s="27">
        <f>'Resource Management'!O5-'Resource Management'!N5</f>
        <v>0</v>
      </c>
      <c r="F5" s="27">
        <f>'Resource Management'!Q5-'Resource Management'!P5</f>
        <v>0</v>
      </c>
      <c r="G5" s="27">
        <f>'Resource Management'!S5-'Resource Management'!R5</f>
        <v>-5</v>
      </c>
      <c r="H5" s="27">
        <f>'Resource Management'!U5-'Resource Management'!T5</f>
        <v>-3</v>
      </c>
      <c r="I5" s="27">
        <f>'Resource Management'!W5-'Resource Management'!V5</f>
        <v>-2</v>
      </c>
      <c r="J5" s="27">
        <f>'Resource Management'!Y5-'Resource Management'!X5</f>
        <v>-1</v>
      </c>
      <c r="K5" s="27">
        <f>'Resource Management'!AA5-'Resource Management'!Z5</f>
        <v>0</v>
      </c>
      <c r="L5" s="27">
        <f>'Resource Management'!AC5-'Resource Management'!AB5</f>
        <v>-1</v>
      </c>
      <c r="M5" s="247">
        <f t="shared" si="1"/>
        <v>0</v>
      </c>
      <c r="N5" s="247">
        <f t="shared" si="2"/>
        <v>0</v>
      </c>
      <c r="O5" s="247">
        <f t="shared" si="3"/>
        <v>169000</v>
      </c>
      <c r="P5" s="247">
        <f t="shared" si="4"/>
        <v>101400</v>
      </c>
      <c r="Q5" s="247">
        <f t="shared" si="5"/>
        <v>67600</v>
      </c>
      <c r="R5" s="247">
        <f t="shared" si="6"/>
        <v>33800</v>
      </c>
      <c r="S5" s="247">
        <f t="shared" si="7"/>
        <v>0</v>
      </c>
      <c r="T5" s="247">
        <f t="shared" si="8"/>
        <v>33800</v>
      </c>
    </row>
    <row r="6" spans="1:20" x14ac:dyDescent="0.25">
      <c r="A6" s="340"/>
      <c r="B6" s="157" t="s">
        <v>193</v>
      </c>
      <c r="C6" s="157">
        <v>1000</v>
      </c>
      <c r="D6" s="157">
        <v>33800</v>
      </c>
      <c r="E6" s="27">
        <f>'Resource Management'!O6-'Resource Management'!N6</f>
        <v>0</v>
      </c>
      <c r="F6" s="27">
        <f>'Resource Management'!Q6-'Resource Management'!P6</f>
        <v>0</v>
      </c>
      <c r="G6" s="27">
        <f>'Resource Management'!S6-'Resource Management'!R6</f>
        <v>0</v>
      </c>
      <c r="H6" s="27">
        <f>'Resource Management'!U6-'Resource Management'!T6</f>
        <v>0</v>
      </c>
      <c r="I6" s="27">
        <f>'Resource Management'!W6-'Resource Management'!V6</f>
        <v>0</v>
      </c>
      <c r="J6" s="27">
        <f>'Resource Management'!Y6-'Resource Management'!X6</f>
        <v>-5</v>
      </c>
      <c r="K6" s="27">
        <f>'Resource Management'!AA6-'Resource Management'!Z6</f>
        <v>0</v>
      </c>
      <c r="L6" s="27">
        <f>'Resource Management'!AC6-'Resource Management'!AB6</f>
        <v>-10</v>
      </c>
      <c r="M6" s="247">
        <f t="shared" si="1"/>
        <v>0</v>
      </c>
      <c r="N6" s="247">
        <f t="shared" si="2"/>
        <v>0</v>
      </c>
      <c r="O6" s="247">
        <f t="shared" si="3"/>
        <v>0</v>
      </c>
      <c r="P6" s="247">
        <f t="shared" si="4"/>
        <v>0</v>
      </c>
      <c r="Q6" s="247">
        <f t="shared" si="5"/>
        <v>0</v>
      </c>
      <c r="R6" s="247">
        <f t="shared" si="6"/>
        <v>169000</v>
      </c>
      <c r="S6" s="247">
        <f t="shared" si="7"/>
        <v>0</v>
      </c>
      <c r="T6" s="247">
        <f t="shared" si="8"/>
        <v>338000</v>
      </c>
    </row>
    <row r="7" spans="1:20" x14ac:dyDescent="0.25">
      <c r="A7" s="341"/>
      <c r="B7" s="157" t="s">
        <v>194</v>
      </c>
      <c r="C7" s="157">
        <v>1000</v>
      </c>
      <c r="D7" s="157">
        <v>33800</v>
      </c>
      <c r="E7" s="27">
        <f>'Resource Management'!O7-'Resource Management'!N7</f>
        <v>0</v>
      </c>
      <c r="F7" s="27">
        <f>'Resource Management'!Q7-'Resource Management'!P7</f>
        <v>0</v>
      </c>
      <c r="G7" s="27">
        <f>'Resource Management'!S7-'Resource Management'!R7</f>
        <v>0</v>
      </c>
      <c r="H7" s="27">
        <f>'Resource Management'!U7-'Resource Management'!T7</f>
        <v>14.999999999999996</v>
      </c>
      <c r="I7" s="27">
        <f>'Resource Management'!W7-'Resource Management'!V7</f>
        <v>10</v>
      </c>
      <c r="J7" s="27">
        <f>'Resource Management'!Y7-'Resource Management'!X7</f>
        <v>-5</v>
      </c>
      <c r="K7" s="27">
        <f>'Resource Management'!AA7-'Resource Management'!Z7</f>
        <v>0</v>
      </c>
      <c r="L7" s="27">
        <f>'Resource Management'!AC7-'Resource Management'!AB7</f>
        <v>0</v>
      </c>
      <c r="M7" s="247">
        <f t="shared" si="1"/>
        <v>0</v>
      </c>
      <c r="N7" s="247">
        <f t="shared" si="2"/>
        <v>0</v>
      </c>
      <c r="O7" s="247">
        <f t="shared" si="3"/>
        <v>0</v>
      </c>
      <c r="P7" s="247">
        <f t="shared" si="4"/>
        <v>14999.999999999996</v>
      </c>
      <c r="Q7" s="247">
        <f t="shared" si="5"/>
        <v>10000</v>
      </c>
      <c r="R7" s="247">
        <f t="shared" si="6"/>
        <v>169000</v>
      </c>
      <c r="S7" s="247">
        <f t="shared" si="7"/>
        <v>0</v>
      </c>
      <c r="T7" s="247">
        <f t="shared" si="8"/>
        <v>0</v>
      </c>
    </row>
    <row r="8" spans="1:20" x14ac:dyDescent="0.25">
      <c r="A8" s="339" t="s">
        <v>195</v>
      </c>
      <c r="B8" s="157" t="s">
        <v>196</v>
      </c>
      <c r="C8" s="157">
        <v>5</v>
      </c>
      <c r="D8" s="342"/>
      <c r="E8" s="27">
        <f>'Resource Management'!O8-'Resource Management'!N8</f>
        <v>0</v>
      </c>
      <c r="F8" s="27">
        <f>'Resource Management'!Q8-'Resource Management'!P8</f>
        <v>0</v>
      </c>
      <c r="G8" s="27">
        <f>'Resource Management'!S8-'Resource Management'!R8</f>
        <v>0</v>
      </c>
      <c r="H8" s="27">
        <f>'Resource Management'!U8-'Resource Management'!T8</f>
        <v>5000</v>
      </c>
      <c r="I8" s="27">
        <f>'Resource Management'!W8-'Resource Management'!V8</f>
        <v>18000</v>
      </c>
      <c r="J8" s="27">
        <f>'Resource Management'!Y8-'Resource Management'!X8</f>
        <v>12000</v>
      </c>
      <c r="K8" s="27">
        <f>'Resource Management'!AA8-'Resource Management'!Z8</f>
        <v>20000</v>
      </c>
      <c r="L8" s="27">
        <f>'Resource Management'!AC8-'Resource Management'!AB8</f>
        <v>8000</v>
      </c>
      <c r="M8" s="247">
        <f t="shared" si="1"/>
        <v>0</v>
      </c>
      <c r="N8" s="247">
        <f t="shared" si="2"/>
        <v>0</v>
      </c>
      <c r="O8" s="247">
        <f t="shared" si="3"/>
        <v>0</v>
      </c>
      <c r="P8" s="247">
        <f t="shared" si="4"/>
        <v>25000</v>
      </c>
      <c r="Q8" s="247">
        <f t="shared" si="5"/>
        <v>90000</v>
      </c>
      <c r="R8" s="247">
        <f t="shared" si="6"/>
        <v>60000</v>
      </c>
      <c r="S8" s="247">
        <f t="shared" si="7"/>
        <v>100000</v>
      </c>
      <c r="T8" s="247">
        <f t="shared" si="8"/>
        <v>40000</v>
      </c>
    </row>
    <row r="9" spans="1:20" x14ac:dyDescent="0.25">
      <c r="A9" s="340"/>
      <c r="B9" s="157" t="s">
        <v>197</v>
      </c>
      <c r="C9" s="157">
        <v>600</v>
      </c>
      <c r="D9" s="343"/>
      <c r="E9" s="27">
        <f>'Resource Management'!O9-'Resource Management'!N9</f>
        <v>0</v>
      </c>
      <c r="F9" s="27">
        <f>'Resource Management'!Q9-'Resource Management'!P9</f>
        <v>49.999999999999993</v>
      </c>
      <c r="G9" s="27">
        <f>'Resource Management'!S9-'Resource Management'!R9</f>
        <v>49.999999999999986</v>
      </c>
      <c r="H9" s="27">
        <f>'Resource Management'!U9-'Resource Management'!T9</f>
        <v>0</v>
      </c>
      <c r="I9" s="27">
        <f>'Resource Management'!W9-'Resource Management'!V9</f>
        <v>30</v>
      </c>
      <c r="J9" s="27">
        <f>'Resource Management'!Y9-'Resource Management'!X9</f>
        <v>60</v>
      </c>
      <c r="K9" s="27">
        <f>'Resource Management'!AA9-'Resource Management'!Z9</f>
        <v>0</v>
      </c>
      <c r="L9" s="27">
        <f>'Resource Management'!AC9-'Resource Management'!AB9</f>
        <v>60</v>
      </c>
      <c r="M9" s="247">
        <f t="shared" si="1"/>
        <v>0</v>
      </c>
      <c r="N9" s="247">
        <f t="shared" si="2"/>
        <v>29999.999999999996</v>
      </c>
      <c r="O9" s="247">
        <f t="shared" si="3"/>
        <v>29999.999999999993</v>
      </c>
      <c r="P9" s="247">
        <f t="shared" si="4"/>
        <v>0</v>
      </c>
      <c r="Q9" s="247">
        <f t="shared" si="5"/>
        <v>18000</v>
      </c>
      <c r="R9" s="247">
        <f t="shared" si="6"/>
        <v>36000</v>
      </c>
      <c r="S9" s="247">
        <f t="shared" si="7"/>
        <v>0</v>
      </c>
      <c r="T9" s="247">
        <f t="shared" si="8"/>
        <v>36000</v>
      </c>
    </row>
    <row r="10" spans="1:20" x14ac:dyDescent="0.25">
      <c r="A10" s="340"/>
      <c r="B10" s="157" t="s">
        <v>198</v>
      </c>
      <c r="C10" s="157">
        <v>400</v>
      </c>
      <c r="D10" s="343"/>
      <c r="E10" s="27">
        <f>'Resource Management'!O10-'Resource Management'!N10</f>
        <v>0</v>
      </c>
      <c r="F10" s="27">
        <f>'Resource Management'!Q10-'Resource Management'!P10</f>
        <v>0</v>
      </c>
      <c r="G10" s="27">
        <f>'Resource Management'!S10-'Resource Management'!R10</f>
        <v>0</v>
      </c>
      <c r="H10" s="27">
        <f>'Resource Management'!U10-'Resource Management'!T10</f>
        <v>0</v>
      </c>
      <c r="I10" s="27">
        <f>'Resource Management'!W10-'Resource Management'!V10</f>
        <v>0</v>
      </c>
      <c r="J10" s="27">
        <f>'Resource Management'!Y10-'Resource Management'!X10</f>
        <v>0</v>
      </c>
      <c r="K10" s="27">
        <f>'Resource Management'!AA10-'Resource Management'!Z10</f>
        <v>-2858.5399999999991</v>
      </c>
      <c r="L10" s="27">
        <f>'Resource Management'!AC10-'Resource Management'!AB10</f>
        <v>0</v>
      </c>
      <c r="M10" s="247">
        <f t="shared" si="1"/>
        <v>0</v>
      </c>
      <c r="N10" s="247">
        <f t="shared" si="2"/>
        <v>0</v>
      </c>
      <c r="O10" s="247">
        <f t="shared" si="3"/>
        <v>0</v>
      </c>
      <c r="P10" s="247">
        <f t="shared" si="4"/>
        <v>0</v>
      </c>
      <c r="Q10" s="247">
        <f t="shared" si="5"/>
        <v>0</v>
      </c>
      <c r="R10" s="247">
        <f t="shared" si="6"/>
        <v>0</v>
      </c>
      <c r="S10" s="247">
        <f t="shared" si="7"/>
        <v>0</v>
      </c>
      <c r="T10" s="247">
        <f t="shared" si="8"/>
        <v>0</v>
      </c>
    </row>
    <row r="11" spans="1:20" x14ac:dyDescent="0.25">
      <c r="A11" s="341"/>
      <c r="B11" s="157" t="s">
        <v>199</v>
      </c>
      <c r="C11" s="157">
        <v>600</v>
      </c>
      <c r="D11" s="343"/>
      <c r="E11" s="27">
        <f>'Resource Management'!O11-'Resource Management'!N11</f>
        <v>0</v>
      </c>
      <c r="F11" s="27">
        <f>'Resource Management'!Q11-'Resource Management'!P11</f>
        <v>0</v>
      </c>
      <c r="G11" s="27">
        <f>'Resource Management'!S11-'Resource Management'!R11</f>
        <v>0</v>
      </c>
      <c r="H11" s="27">
        <f>'Resource Management'!U11-'Resource Management'!T11</f>
        <v>0</v>
      </c>
      <c r="I11" s="27">
        <f>'Resource Management'!W11-'Resource Management'!V11</f>
        <v>12</v>
      </c>
      <c r="J11" s="27">
        <f>'Resource Management'!Y11-'Resource Management'!X11</f>
        <v>14</v>
      </c>
      <c r="K11" s="27">
        <f>'Resource Management'!AA11-'Resource Management'!Z11</f>
        <v>40</v>
      </c>
      <c r="L11" s="27">
        <f>'Resource Management'!AC11-'Resource Management'!AB11</f>
        <v>0</v>
      </c>
      <c r="M11" s="247">
        <f t="shared" si="1"/>
        <v>0</v>
      </c>
      <c r="N11" s="247">
        <f t="shared" si="2"/>
        <v>0</v>
      </c>
      <c r="O11" s="247">
        <f t="shared" si="3"/>
        <v>0</v>
      </c>
      <c r="P11" s="247">
        <f t="shared" si="4"/>
        <v>0</v>
      </c>
      <c r="Q11" s="247">
        <f t="shared" si="5"/>
        <v>7200</v>
      </c>
      <c r="R11" s="247">
        <f t="shared" si="6"/>
        <v>8400</v>
      </c>
      <c r="S11" s="247">
        <f t="shared" si="7"/>
        <v>24000</v>
      </c>
      <c r="T11" s="247">
        <f t="shared" si="8"/>
        <v>0</v>
      </c>
    </row>
    <row r="12" spans="1:20" x14ac:dyDescent="0.25">
      <c r="A12" s="339" t="s">
        <v>200</v>
      </c>
      <c r="B12" s="157" t="s">
        <v>201</v>
      </c>
      <c r="C12" s="157">
        <v>2500</v>
      </c>
      <c r="D12" s="343"/>
      <c r="E12" s="27">
        <f>'Resource Management'!O12-'Resource Management'!N12</f>
        <v>39.909999999999997</v>
      </c>
      <c r="F12" s="27">
        <f>'Resource Management'!Q12-'Resource Management'!P12</f>
        <v>3.0600000000000023</v>
      </c>
      <c r="G12" s="27">
        <f>'Resource Management'!S12-'Resource Management'!R12</f>
        <v>51.17</v>
      </c>
      <c r="H12" s="27">
        <f>'Resource Management'!U12-'Resource Management'!T12</f>
        <v>2.8400000000000034</v>
      </c>
      <c r="I12" s="27">
        <f>'Resource Management'!W12-'Resource Management'!V12</f>
        <v>0</v>
      </c>
      <c r="J12" s="27">
        <f>'Resource Management'!Y12-'Resource Management'!X12</f>
        <v>9.7800000000000011</v>
      </c>
      <c r="K12" s="27">
        <f>'Resource Management'!AA12-'Resource Management'!Z12</f>
        <v>325.52</v>
      </c>
      <c r="L12" s="27">
        <f>'Resource Management'!AC12-'Resource Management'!AB12</f>
        <v>0</v>
      </c>
      <c r="M12" s="247">
        <f t="shared" si="1"/>
        <v>99774.999999999985</v>
      </c>
      <c r="N12" s="247">
        <f t="shared" si="2"/>
        <v>7650.0000000000055</v>
      </c>
      <c r="O12" s="247">
        <f t="shared" si="3"/>
        <v>127925</v>
      </c>
      <c r="P12" s="247">
        <f t="shared" si="4"/>
        <v>7100.0000000000082</v>
      </c>
      <c r="Q12" s="247">
        <f t="shared" si="5"/>
        <v>0</v>
      </c>
      <c r="R12" s="247">
        <f t="shared" si="6"/>
        <v>24450.000000000004</v>
      </c>
      <c r="S12" s="247">
        <f t="shared" si="7"/>
        <v>813800</v>
      </c>
      <c r="T12" s="247">
        <f t="shared" si="8"/>
        <v>0</v>
      </c>
    </row>
    <row r="13" spans="1:20" x14ac:dyDescent="0.25">
      <c r="A13" s="340"/>
      <c r="B13" s="157" t="s">
        <v>202</v>
      </c>
      <c r="C13" s="157">
        <v>2500</v>
      </c>
      <c r="D13" s="343"/>
      <c r="E13" s="27">
        <f>'Resource Management'!O13-'Resource Management'!N13</f>
        <v>0</v>
      </c>
      <c r="F13" s="27">
        <f>'Resource Management'!Q13-'Resource Management'!P13</f>
        <v>0</v>
      </c>
      <c r="G13" s="27">
        <f>'Resource Management'!S13-'Resource Management'!R13</f>
        <v>41.09</v>
      </c>
      <c r="H13" s="27">
        <f>'Resource Management'!U13-'Resource Management'!T13</f>
        <v>6.1400000000000006</v>
      </c>
      <c r="I13" s="27">
        <f>'Resource Management'!W13-'Resource Management'!V13</f>
        <v>0</v>
      </c>
      <c r="J13" s="27">
        <f>'Resource Management'!Y13-'Resource Management'!X13</f>
        <v>22.100000000000023</v>
      </c>
      <c r="K13" s="27">
        <f>'Resource Management'!AA13-'Resource Management'!Z13</f>
        <v>288.25</v>
      </c>
      <c r="L13" s="27">
        <f>'Resource Management'!AC13-'Resource Management'!AB13</f>
        <v>0</v>
      </c>
      <c r="M13" s="247">
        <f t="shared" si="1"/>
        <v>0</v>
      </c>
      <c r="N13" s="247">
        <f t="shared" si="2"/>
        <v>0</v>
      </c>
      <c r="O13" s="247">
        <f t="shared" si="3"/>
        <v>102725.00000000001</v>
      </c>
      <c r="P13" s="247">
        <f t="shared" si="4"/>
        <v>15350.000000000002</v>
      </c>
      <c r="Q13" s="247">
        <f t="shared" si="5"/>
        <v>0</v>
      </c>
      <c r="R13" s="247">
        <f t="shared" si="6"/>
        <v>55250.000000000058</v>
      </c>
      <c r="S13" s="247">
        <f t="shared" si="7"/>
        <v>720625</v>
      </c>
      <c r="T13" s="247">
        <f t="shared" si="8"/>
        <v>0</v>
      </c>
    </row>
    <row r="14" spans="1:20" x14ac:dyDescent="0.25">
      <c r="A14" s="340"/>
      <c r="B14" s="157" t="s">
        <v>203</v>
      </c>
      <c r="C14" s="157">
        <v>2500</v>
      </c>
      <c r="D14" s="343"/>
      <c r="E14" s="27">
        <f>'Resource Management'!O14-'Resource Management'!N14</f>
        <v>0</v>
      </c>
      <c r="F14" s="27">
        <f>'Resource Management'!Q14-'Resource Management'!P14</f>
        <v>0</v>
      </c>
      <c r="G14" s="27">
        <f>'Resource Management'!S14-'Resource Management'!R14</f>
        <v>18.17999999999995</v>
      </c>
      <c r="H14" s="27">
        <f>'Resource Management'!U14-'Resource Management'!T14</f>
        <v>36.970000000000027</v>
      </c>
      <c r="I14" s="27">
        <f>'Resource Management'!W14-'Resource Management'!V14</f>
        <v>0</v>
      </c>
      <c r="J14" s="27">
        <f>'Resource Management'!Y14-'Resource Management'!X14</f>
        <v>0</v>
      </c>
      <c r="K14" s="27">
        <f>'Resource Management'!AA14-'Resource Management'!Z14</f>
        <v>0</v>
      </c>
      <c r="L14" s="27">
        <f>'Resource Management'!AC14-'Resource Management'!AB14</f>
        <v>0</v>
      </c>
      <c r="M14" s="247">
        <f t="shared" si="1"/>
        <v>0</v>
      </c>
      <c r="N14" s="247">
        <f t="shared" si="2"/>
        <v>0</v>
      </c>
      <c r="O14" s="247">
        <f t="shared" si="3"/>
        <v>45449.999999999876</v>
      </c>
      <c r="P14" s="247">
        <f t="shared" si="4"/>
        <v>92425.000000000073</v>
      </c>
      <c r="Q14" s="247">
        <f t="shared" si="5"/>
        <v>0</v>
      </c>
      <c r="R14" s="247">
        <f t="shared" si="6"/>
        <v>0</v>
      </c>
      <c r="S14" s="247">
        <f t="shared" si="7"/>
        <v>0</v>
      </c>
      <c r="T14" s="247">
        <f t="shared" si="8"/>
        <v>0</v>
      </c>
    </row>
    <row r="15" spans="1:20" x14ac:dyDescent="0.25">
      <c r="A15" s="340"/>
      <c r="B15" s="157" t="s">
        <v>204</v>
      </c>
      <c r="C15" s="157">
        <v>2500</v>
      </c>
      <c r="D15" s="343"/>
      <c r="E15" s="27">
        <f>'Resource Management'!O15-'Resource Management'!N15</f>
        <v>10.000000000000004</v>
      </c>
      <c r="F15" s="27">
        <f>'Resource Management'!Q15-'Resource Management'!P15</f>
        <v>1.0300000000000011</v>
      </c>
      <c r="G15" s="27">
        <f>'Resource Management'!S15-'Resource Management'!R15</f>
        <v>0</v>
      </c>
      <c r="H15" s="27">
        <f>'Resource Management'!U15-'Resource Management'!T15</f>
        <v>59.990000000000009</v>
      </c>
      <c r="I15" s="27">
        <f>'Resource Management'!W15-'Resource Management'!V15</f>
        <v>0</v>
      </c>
      <c r="J15" s="27">
        <f>'Resource Management'!Y15-'Resource Management'!X15</f>
        <v>0</v>
      </c>
      <c r="K15" s="27">
        <f>'Resource Management'!AA15-'Resource Management'!Z15</f>
        <v>0</v>
      </c>
      <c r="L15" s="27">
        <f>'Resource Management'!AC15-'Resource Management'!AB15</f>
        <v>0</v>
      </c>
      <c r="M15" s="247">
        <f t="shared" si="1"/>
        <v>25000.000000000007</v>
      </c>
      <c r="N15" s="247">
        <f t="shared" si="2"/>
        <v>2575.0000000000027</v>
      </c>
      <c r="O15" s="247">
        <f t="shared" si="3"/>
        <v>0</v>
      </c>
      <c r="P15" s="247">
        <f t="shared" si="4"/>
        <v>149975.00000000003</v>
      </c>
      <c r="Q15" s="247">
        <f t="shared" si="5"/>
        <v>0</v>
      </c>
      <c r="R15" s="247">
        <f t="shared" si="6"/>
        <v>0</v>
      </c>
      <c r="S15" s="247">
        <f t="shared" si="7"/>
        <v>0</v>
      </c>
      <c r="T15" s="247">
        <f t="shared" si="8"/>
        <v>0</v>
      </c>
    </row>
    <row r="16" spans="1:20" x14ac:dyDescent="0.25">
      <c r="A16" s="340"/>
      <c r="B16" s="157" t="s">
        <v>205</v>
      </c>
      <c r="C16" s="157">
        <v>2500</v>
      </c>
      <c r="D16" s="343"/>
      <c r="E16" s="27">
        <f>'Resource Management'!O16-'Resource Management'!N16</f>
        <v>76.77000000000001</v>
      </c>
      <c r="F16" s="27">
        <f>'Resource Management'!Q16-'Resource Management'!P16</f>
        <v>70.190000000000026</v>
      </c>
      <c r="G16" s="27">
        <f>'Resource Management'!S16-'Resource Management'!R16</f>
        <v>201.28</v>
      </c>
      <c r="H16" s="27">
        <f>'Resource Management'!U16-'Resource Management'!T16</f>
        <v>0</v>
      </c>
      <c r="I16" s="27">
        <f>'Resource Management'!W16-'Resource Management'!V16</f>
        <v>0</v>
      </c>
      <c r="J16" s="27">
        <f>'Resource Management'!Y16-'Resource Management'!X16</f>
        <v>0</v>
      </c>
      <c r="K16" s="27">
        <f>'Resource Management'!AA16-'Resource Management'!Z16</f>
        <v>0</v>
      </c>
      <c r="L16" s="27">
        <f>'Resource Management'!AC16-'Resource Management'!AB16</f>
        <v>0</v>
      </c>
      <c r="M16" s="247">
        <f t="shared" si="1"/>
        <v>191925.00000000003</v>
      </c>
      <c r="N16" s="247">
        <f t="shared" si="2"/>
        <v>175475.00000000006</v>
      </c>
      <c r="O16" s="247">
        <f t="shared" si="3"/>
        <v>503200</v>
      </c>
      <c r="P16" s="247">
        <f t="shared" si="4"/>
        <v>0</v>
      </c>
      <c r="Q16" s="247">
        <f t="shared" si="5"/>
        <v>0</v>
      </c>
      <c r="R16" s="247">
        <f t="shared" si="6"/>
        <v>0</v>
      </c>
      <c r="S16" s="247">
        <f t="shared" si="7"/>
        <v>0</v>
      </c>
      <c r="T16" s="247">
        <f t="shared" si="8"/>
        <v>0</v>
      </c>
    </row>
    <row r="17" spans="1:22" x14ac:dyDescent="0.25">
      <c r="A17" s="340"/>
      <c r="B17" s="157" t="s">
        <v>206</v>
      </c>
      <c r="C17" s="157">
        <v>2500</v>
      </c>
      <c r="D17" s="343"/>
      <c r="E17" s="27">
        <f>'Resource Management'!O17-'Resource Management'!N17</f>
        <v>70.930000000000007</v>
      </c>
      <c r="F17" s="27">
        <f>'Resource Management'!Q17-'Resource Management'!P17</f>
        <v>3.4699999999999989</v>
      </c>
      <c r="G17" s="27">
        <f>'Resource Management'!S17-'Resource Management'!R17</f>
        <v>151.64000000000004</v>
      </c>
      <c r="H17" s="27">
        <f>'Resource Management'!U17-'Resource Management'!T17</f>
        <v>0</v>
      </c>
      <c r="I17" s="27">
        <f>'Resource Management'!W17-'Resource Management'!V17</f>
        <v>0</v>
      </c>
      <c r="J17" s="27">
        <f>'Resource Management'!Y17-'Resource Management'!X17</f>
        <v>0</v>
      </c>
      <c r="K17" s="27">
        <f>'Resource Management'!AA17-'Resource Management'!Z17</f>
        <v>0</v>
      </c>
      <c r="L17" s="27">
        <f>'Resource Management'!AC17-'Resource Management'!AB17</f>
        <v>0</v>
      </c>
      <c r="M17" s="247">
        <f t="shared" si="1"/>
        <v>177325.00000000003</v>
      </c>
      <c r="N17" s="247">
        <f t="shared" si="2"/>
        <v>8674.9999999999964</v>
      </c>
      <c r="O17" s="247">
        <f t="shared" si="3"/>
        <v>379100.00000000012</v>
      </c>
      <c r="P17" s="247">
        <f t="shared" si="4"/>
        <v>0</v>
      </c>
      <c r="Q17" s="247">
        <f t="shared" si="5"/>
        <v>0</v>
      </c>
      <c r="R17" s="247">
        <f t="shared" si="6"/>
        <v>0</v>
      </c>
      <c r="S17" s="247">
        <f t="shared" si="7"/>
        <v>0</v>
      </c>
      <c r="T17" s="247">
        <f t="shared" si="8"/>
        <v>0</v>
      </c>
    </row>
    <row r="18" spans="1:22" x14ac:dyDescent="0.25">
      <c r="A18" s="340"/>
      <c r="B18" s="157" t="s">
        <v>207</v>
      </c>
      <c r="C18" s="157">
        <v>2500</v>
      </c>
      <c r="D18" s="343"/>
      <c r="E18" s="27">
        <f>'Resource Management'!O18-'Resource Management'!N18</f>
        <v>77.95999999999998</v>
      </c>
      <c r="F18" s="27">
        <f>'Resource Management'!Q18-'Resource Management'!P18</f>
        <v>17.200000000000017</v>
      </c>
      <c r="G18" s="27">
        <f>'Resource Management'!S18-'Resource Management'!R18</f>
        <v>101.35</v>
      </c>
      <c r="H18" s="27">
        <f>'Resource Management'!U18-'Resource Management'!T18</f>
        <v>129.38999999999999</v>
      </c>
      <c r="I18" s="27">
        <f>'Resource Management'!W18-'Resource Management'!V18</f>
        <v>0</v>
      </c>
      <c r="J18" s="27">
        <f>'Resource Management'!Y18-'Resource Management'!X18</f>
        <v>11.339999999999975</v>
      </c>
      <c r="K18" s="27">
        <f>'Resource Management'!AA18-'Resource Management'!Z18</f>
        <v>20.949999999999989</v>
      </c>
      <c r="L18" s="27">
        <f>'Resource Management'!AC18-'Resource Management'!AB18</f>
        <v>1.1899999999999977</v>
      </c>
      <c r="M18" s="247">
        <f t="shared" si="1"/>
        <v>194899.99999999994</v>
      </c>
      <c r="N18" s="247">
        <f t="shared" si="2"/>
        <v>43000.000000000044</v>
      </c>
      <c r="O18" s="247">
        <f t="shared" si="3"/>
        <v>253375</v>
      </c>
      <c r="P18" s="247">
        <f t="shared" si="4"/>
        <v>323474.99999999994</v>
      </c>
      <c r="Q18" s="247">
        <f t="shared" si="5"/>
        <v>0</v>
      </c>
      <c r="R18" s="247">
        <f t="shared" si="6"/>
        <v>28349.999999999938</v>
      </c>
      <c r="S18" s="247">
        <f t="shared" si="7"/>
        <v>52374.999999999971</v>
      </c>
      <c r="T18" s="247">
        <f t="shared" si="8"/>
        <v>2974.9999999999945</v>
      </c>
    </row>
    <row r="19" spans="1:22" x14ac:dyDescent="0.25">
      <c r="A19" s="340"/>
      <c r="B19" s="157" t="s">
        <v>208</v>
      </c>
      <c r="C19" s="157">
        <v>2500</v>
      </c>
      <c r="D19" s="343"/>
      <c r="E19" s="27">
        <f>'Resource Management'!O19-'Resource Management'!N19</f>
        <v>1.8299999999999841</v>
      </c>
      <c r="F19" s="27">
        <f>'Resource Management'!Q19-'Resource Management'!P19</f>
        <v>68.53</v>
      </c>
      <c r="G19" s="27">
        <f>'Resource Management'!S19-'Resource Management'!R19</f>
        <v>221.54999999999998</v>
      </c>
      <c r="H19" s="27">
        <f>'Resource Management'!U19-'Resource Management'!T19</f>
        <v>54.54000000000002</v>
      </c>
      <c r="I19" s="27">
        <f>'Resource Management'!W19-'Resource Management'!V19</f>
        <v>200.59999999999997</v>
      </c>
      <c r="J19" s="27">
        <f>'Resource Management'!Y19-'Resource Management'!X19</f>
        <v>499.23</v>
      </c>
      <c r="K19" s="27">
        <f>'Resource Management'!AA19-'Resource Management'!Z19</f>
        <v>200.36999999999989</v>
      </c>
      <c r="L19" s="27">
        <f>'Resource Management'!AC19-'Resource Management'!AB19</f>
        <v>100.84999999999991</v>
      </c>
      <c r="M19" s="247">
        <f t="shared" si="1"/>
        <v>4574.99999999996</v>
      </c>
      <c r="N19" s="247">
        <f t="shared" si="2"/>
        <v>171325</v>
      </c>
      <c r="O19" s="247">
        <f t="shared" si="3"/>
        <v>553875</v>
      </c>
      <c r="P19" s="247">
        <f t="shared" si="4"/>
        <v>136350.00000000006</v>
      </c>
      <c r="Q19" s="247">
        <f t="shared" si="5"/>
        <v>501499.99999999994</v>
      </c>
      <c r="R19" s="247">
        <f t="shared" si="6"/>
        <v>1248075</v>
      </c>
      <c r="S19" s="247">
        <f t="shared" si="7"/>
        <v>500924.99999999971</v>
      </c>
      <c r="T19" s="247">
        <f t="shared" si="8"/>
        <v>252124.99999999977</v>
      </c>
    </row>
    <row r="20" spans="1:22" x14ac:dyDescent="0.25">
      <c r="A20" s="340"/>
      <c r="B20" s="157" t="s">
        <v>209</v>
      </c>
      <c r="C20" s="157">
        <v>2500</v>
      </c>
      <c r="D20" s="343"/>
      <c r="E20" s="27">
        <f>'Resource Management'!O20-'Resource Management'!N20</f>
        <v>150.37</v>
      </c>
      <c r="F20" s="27">
        <f>'Resource Management'!Q20-'Resource Management'!P20</f>
        <v>3.25</v>
      </c>
      <c r="G20" s="27">
        <f>'Resource Management'!S20-'Resource Management'!R20</f>
        <v>31.270000000000039</v>
      </c>
      <c r="H20" s="27">
        <f>'Resource Management'!U20-'Resource Management'!T20</f>
        <v>46.370000000000005</v>
      </c>
      <c r="I20" s="27">
        <f>'Resource Management'!W20-'Resource Management'!V20</f>
        <v>140.36000000000001</v>
      </c>
      <c r="J20" s="27">
        <f>'Resource Management'!Y20-'Resource Management'!X20</f>
        <v>479.24999999999994</v>
      </c>
      <c r="K20" s="27">
        <f>'Resource Management'!AA20-'Resource Management'!Z20</f>
        <v>200.34000000000015</v>
      </c>
      <c r="L20" s="27">
        <f>'Resource Management'!AC20-'Resource Management'!AB20</f>
        <v>101.09999999999991</v>
      </c>
      <c r="M20" s="247">
        <f t="shared" si="1"/>
        <v>375925</v>
      </c>
      <c r="N20" s="247">
        <f t="shared" si="2"/>
        <v>8125</v>
      </c>
      <c r="O20" s="247">
        <f t="shared" si="3"/>
        <v>78175.000000000102</v>
      </c>
      <c r="P20" s="247">
        <f t="shared" si="4"/>
        <v>115925.00000000001</v>
      </c>
      <c r="Q20" s="247">
        <f t="shared" si="5"/>
        <v>350900.00000000006</v>
      </c>
      <c r="R20" s="247">
        <f t="shared" si="6"/>
        <v>1198124.9999999998</v>
      </c>
      <c r="S20" s="247">
        <f t="shared" si="7"/>
        <v>500850.00000000035</v>
      </c>
      <c r="T20" s="247">
        <f t="shared" si="8"/>
        <v>252749.99999999977</v>
      </c>
    </row>
    <row r="21" spans="1:22" x14ac:dyDescent="0.25">
      <c r="A21" s="340"/>
      <c r="B21" s="157" t="s">
        <v>210</v>
      </c>
      <c r="C21" s="157">
        <v>2500</v>
      </c>
      <c r="D21" s="343"/>
      <c r="E21" s="27">
        <f>'Resource Management'!O21-'Resource Management'!N21</f>
        <v>72.28</v>
      </c>
      <c r="F21" s="27">
        <f>'Resource Management'!Q21-'Resource Management'!P21</f>
        <v>2.1999999999999886</v>
      </c>
      <c r="G21" s="27">
        <f>'Resource Management'!S21-'Resource Management'!R21</f>
        <v>0</v>
      </c>
      <c r="H21" s="27">
        <f>'Resource Management'!U21-'Resource Management'!T21</f>
        <v>0</v>
      </c>
      <c r="I21" s="27">
        <f>'Resource Management'!W21-'Resource Management'!V21</f>
        <v>20.599999999999994</v>
      </c>
      <c r="J21" s="27">
        <f>'Resource Management'!Y21-'Resource Management'!X21</f>
        <v>60.239999999999981</v>
      </c>
      <c r="K21" s="27">
        <f>'Resource Management'!AA21-'Resource Management'!Z21</f>
        <v>20.560000000000002</v>
      </c>
      <c r="L21" s="27">
        <f>'Resource Management'!AC21-'Resource Management'!AB21</f>
        <v>0</v>
      </c>
      <c r="M21" s="247">
        <f t="shared" si="1"/>
        <v>180700</v>
      </c>
      <c r="N21" s="247">
        <f t="shared" si="2"/>
        <v>5499.9999999999718</v>
      </c>
      <c r="O21" s="247">
        <f t="shared" si="3"/>
        <v>0</v>
      </c>
      <c r="P21" s="247">
        <f t="shared" si="4"/>
        <v>0</v>
      </c>
      <c r="Q21" s="247">
        <f t="shared" si="5"/>
        <v>51499.999999999985</v>
      </c>
      <c r="R21" s="247">
        <f t="shared" si="6"/>
        <v>150599.99999999994</v>
      </c>
      <c r="S21" s="247">
        <f t="shared" si="7"/>
        <v>51400.000000000007</v>
      </c>
      <c r="T21" s="247">
        <f t="shared" si="8"/>
        <v>0</v>
      </c>
    </row>
    <row r="22" spans="1:22" x14ac:dyDescent="0.25">
      <c r="A22" s="340"/>
      <c r="B22" s="157" t="s">
        <v>211</v>
      </c>
      <c r="C22" s="157">
        <v>300</v>
      </c>
      <c r="D22" s="343"/>
      <c r="E22" s="27">
        <f>'Resource Management'!O22-'Resource Management'!N22</f>
        <v>194.7</v>
      </c>
      <c r="F22" s="27">
        <f>'Resource Management'!Q22-'Resource Management'!P22</f>
        <v>12.300000000000011</v>
      </c>
      <c r="G22" s="27">
        <f>'Resource Management'!S22-'Resource Management'!R22</f>
        <v>244.35000000000002</v>
      </c>
      <c r="H22" s="27">
        <f>'Resource Management'!U22-'Resource Management'!T22</f>
        <v>19.200000000000045</v>
      </c>
      <c r="I22" s="27">
        <f>'Resource Management'!W22-'Resource Management'!V22</f>
        <v>0</v>
      </c>
      <c r="J22" s="27">
        <f>'Resource Management'!Y22-'Resource Management'!X22</f>
        <v>37</v>
      </c>
      <c r="K22" s="27">
        <f>'Resource Management'!AA22-'Resource Management'!Z22</f>
        <v>1620.7</v>
      </c>
      <c r="L22" s="27">
        <f>'Resource Management'!AC22-'Resource Management'!AB22</f>
        <v>0</v>
      </c>
      <c r="M22" s="247">
        <f t="shared" si="1"/>
        <v>58410</v>
      </c>
      <c r="N22" s="247">
        <f t="shared" si="2"/>
        <v>3690.0000000000036</v>
      </c>
      <c r="O22" s="247">
        <f t="shared" si="3"/>
        <v>73305</v>
      </c>
      <c r="P22" s="247">
        <f t="shared" si="4"/>
        <v>5760.0000000000136</v>
      </c>
      <c r="Q22" s="247">
        <f t="shared" si="5"/>
        <v>0</v>
      </c>
      <c r="R22" s="247">
        <f t="shared" si="6"/>
        <v>11100</v>
      </c>
      <c r="S22" s="247">
        <f t="shared" si="7"/>
        <v>486210</v>
      </c>
      <c r="T22" s="247">
        <f t="shared" si="8"/>
        <v>0</v>
      </c>
    </row>
    <row r="23" spans="1:22" x14ac:dyDescent="0.25">
      <c r="A23" s="340"/>
      <c r="B23" s="157" t="s">
        <v>212</v>
      </c>
      <c r="C23" s="157">
        <v>300</v>
      </c>
      <c r="D23" s="343"/>
      <c r="E23" s="27">
        <f>'Resource Management'!O23-'Resource Management'!N23</f>
        <v>0</v>
      </c>
      <c r="F23" s="27">
        <f>'Resource Management'!Q23-'Resource Management'!P23</f>
        <v>0</v>
      </c>
      <c r="G23" s="27">
        <f>'Resource Management'!S23-'Resource Management'!R23</f>
        <v>181.20000000000005</v>
      </c>
      <c r="H23" s="27">
        <f>'Resource Management'!U23-'Resource Management'!T23</f>
        <v>33.699999999999932</v>
      </c>
      <c r="I23" s="27">
        <f>'Resource Management'!W23-'Resource Management'!V23</f>
        <v>0</v>
      </c>
      <c r="J23" s="27">
        <f>'Resource Management'!Y23-'Resource Management'!X23</f>
        <v>98.750000000000114</v>
      </c>
      <c r="K23" s="27">
        <f>'Resource Management'!AA23-'Resource Management'!Z23</f>
        <v>1434.35</v>
      </c>
      <c r="L23" s="27">
        <f>'Resource Management'!AC23-'Resource Management'!AB23</f>
        <v>0</v>
      </c>
      <c r="M23" s="247">
        <f t="shared" si="1"/>
        <v>0</v>
      </c>
      <c r="N23" s="247">
        <f t="shared" si="2"/>
        <v>0</v>
      </c>
      <c r="O23" s="247">
        <f t="shared" si="3"/>
        <v>54360.000000000015</v>
      </c>
      <c r="P23" s="247">
        <f t="shared" si="4"/>
        <v>10109.99999999998</v>
      </c>
      <c r="Q23" s="247">
        <f t="shared" si="5"/>
        <v>0</v>
      </c>
      <c r="R23" s="247">
        <f t="shared" si="6"/>
        <v>29625.000000000033</v>
      </c>
      <c r="S23" s="247">
        <f t="shared" si="7"/>
        <v>430305</v>
      </c>
      <c r="T23" s="247">
        <f t="shared" si="8"/>
        <v>0</v>
      </c>
    </row>
    <row r="24" spans="1:22" x14ac:dyDescent="0.25">
      <c r="A24" s="340"/>
      <c r="B24" s="157" t="s">
        <v>213</v>
      </c>
      <c r="C24" s="157">
        <v>300</v>
      </c>
      <c r="D24" s="343"/>
      <c r="E24" s="27">
        <f>'Resource Management'!O24-'Resource Management'!N24</f>
        <v>0</v>
      </c>
      <c r="F24" s="27">
        <f>'Resource Management'!Q24-'Resource Management'!P24</f>
        <v>0</v>
      </c>
      <c r="G24" s="27">
        <f>'Resource Management'!S24-'Resource Management'!R24</f>
        <v>0</v>
      </c>
      <c r="H24" s="27">
        <f>'Resource Management'!U24-'Resource Management'!T24</f>
        <v>119.75</v>
      </c>
      <c r="I24" s="27">
        <f>'Resource Management'!W24-'Resource Management'!V24</f>
        <v>0</v>
      </c>
      <c r="J24" s="27">
        <f>'Resource Management'!Y24-'Resource Management'!X24</f>
        <v>0</v>
      </c>
      <c r="K24" s="27">
        <f>'Resource Management'!AA24-'Resource Management'!Z24</f>
        <v>0</v>
      </c>
      <c r="L24" s="27">
        <f>'Resource Management'!AC24-'Resource Management'!AB24</f>
        <v>0</v>
      </c>
      <c r="M24" s="247">
        <f t="shared" si="1"/>
        <v>0</v>
      </c>
      <c r="N24" s="247">
        <f t="shared" si="2"/>
        <v>0</v>
      </c>
      <c r="O24" s="247">
        <f t="shared" si="3"/>
        <v>0</v>
      </c>
      <c r="P24" s="247">
        <f t="shared" si="4"/>
        <v>35925</v>
      </c>
      <c r="Q24" s="247">
        <f t="shared" si="5"/>
        <v>0</v>
      </c>
      <c r="R24" s="247">
        <f t="shared" si="6"/>
        <v>0</v>
      </c>
      <c r="S24" s="247">
        <f t="shared" si="7"/>
        <v>0</v>
      </c>
      <c r="T24" s="247">
        <f t="shared" si="8"/>
        <v>0</v>
      </c>
    </row>
    <row r="25" spans="1:22" x14ac:dyDescent="0.25">
      <c r="A25" s="340"/>
      <c r="B25" s="157" t="s">
        <v>214</v>
      </c>
      <c r="C25" s="157">
        <v>300</v>
      </c>
      <c r="D25" s="343"/>
      <c r="E25" s="27">
        <f>'Resource Management'!O25-'Resource Management'!N25</f>
        <v>47.600000000000023</v>
      </c>
      <c r="F25" s="27">
        <f>'Resource Management'!Q25-'Resource Management'!P25</f>
        <v>5</v>
      </c>
      <c r="G25" s="27">
        <f>'Resource Management'!S25-'Resource Management'!R25</f>
        <v>0</v>
      </c>
      <c r="H25" s="27">
        <f>'Resource Management'!U25-'Resource Management'!T25</f>
        <v>295.80000000000007</v>
      </c>
      <c r="I25" s="27">
        <f>'Resource Management'!W25-'Resource Management'!V25</f>
        <v>0</v>
      </c>
      <c r="J25" s="27">
        <f>'Resource Management'!Y25-'Resource Management'!X25</f>
        <v>0</v>
      </c>
      <c r="K25" s="27">
        <f>'Resource Management'!AA25-'Resource Management'!Z25</f>
        <v>0</v>
      </c>
      <c r="L25" s="27">
        <f>'Resource Management'!AC25-'Resource Management'!AB25</f>
        <v>0</v>
      </c>
      <c r="M25" s="247">
        <f t="shared" si="1"/>
        <v>14280.000000000007</v>
      </c>
      <c r="N25" s="247">
        <f t="shared" si="2"/>
        <v>1500</v>
      </c>
      <c r="O25" s="247">
        <f t="shared" si="3"/>
        <v>0</v>
      </c>
      <c r="P25" s="247">
        <f t="shared" si="4"/>
        <v>88740.000000000015</v>
      </c>
      <c r="Q25" s="247">
        <f t="shared" si="5"/>
        <v>0</v>
      </c>
      <c r="R25" s="247">
        <f t="shared" si="6"/>
        <v>0</v>
      </c>
      <c r="S25" s="247">
        <f t="shared" si="7"/>
        <v>0</v>
      </c>
      <c r="T25" s="247">
        <f t="shared" si="8"/>
        <v>0</v>
      </c>
    </row>
    <row r="26" spans="1:22" x14ac:dyDescent="0.25">
      <c r="A26" s="340"/>
      <c r="B26" s="157" t="s">
        <v>215</v>
      </c>
      <c r="C26" s="157">
        <v>300</v>
      </c>
      <c r="D26" s="343"/>
      <c r="E26" s="27">
        <f>'Resource Management'!O26-'Resource Management'!N26</f>
        <v>372.30000000000007</v>
      </c>
      <c r="F26" s="27">
        <f>'Resource Management'!Q26-'Resource Management'!P26</f>
        <v>344.35000000000014</v>
      </c>
      <c r="G26" s="27">
        <f>'Resource Management'!S26-'Resource Management'!R26</f>
        <v>989.34999999999991</v>
      </c>
      <c r="H26" s="27">
        <f>'Resource Management'!U26-'Resource Management'!T26</f>
        <v>0</v>
      </c>
      <c r="I26" s="27">
        <f>'Resource Management'!W26-'Resource Management'!V26</f>
        <v>0</v>
      </c>
      <c r="J26" s="27">
        <f>'Resource Management'!Y26-'Resource Management'!X26</f>
        <v>0</v>
      </c>
      <c r="K26" s="27">
        <f>'Resource Management'!AA26-'Resource Management'!Z26</f>
        <v>0</v>
      </c>
      <c r="L26" s="27">
        <f>'Resource Management'!AC26-'Resource Management'!AB26</f>
        <v>0</v>
      </c>
      <c r="M26" s="247">
        <f t="shared" si="1"/>
        <v>111690.00000000001</v>
      </c>
      <c r="N26" s="247">
        <f t="shared" si="2"/>
        <v>103305.00000000004</v>
      </c>
      <c r="O26" s="247">
        <f t="shared" si="3"/>
        <v>296805</v>
      </c>
      <c r="P26" s="247">
        <f t="shared" si="4"/>
        <v>0</v>
      </c>
      <c r="Q26" s="247">
        <f t="shared" si="5"/>
        <v>0</v>
      </c>
      <c r="R26" s="247">
        <f t="shared" si="6"/>
        <v>0</v>
      </c>
      <c r="S26" s="247">
        <f t="shared" si="7"/>
        <v>0</v>
      </c>
      <c r="T26" s="247">
        <f t="shared" si="8"/>
        <v>0</v>
      </c>
    </row>
    <row r="27" spans="1:22" x14ac:dyDescent="0.25">
      <c r="A27" s="340"/>
      <c r="B27" s="157" t="s">
        <v>216</v>
      </c>
      <c r="C27" s="157">
        <v>300</v>
      </c>
      <c r="D27" s="343"/>
      <c r="E27" s="27">
        <f>'Resource Management'!O27-'Resource Management'!N27</f>
        <v>336.59999999999991</v>
      </c>
      <c r="F27" s="27">
        <f>'Resource Management'!Q27-'Resource Management'!P27</f>
        <v>8.25</v>
      </c>
      <c r="G27" s="27">
        <f>'Resource Management'!S27-'Resource Management'!R27</f>
        <v>740.10000000000025</v>
      </c>
      <c r="H27" s="27">
        <f>'Resource Management'!U27-'Resource Management'!T27</f>
        <v>0</v>
      </c>
      <c r="I27" s="27">
        <f>'Resource Management'!W27-'Resource Management'!V27</f>
        <v>0</v>
      </c>
      <c r="J27" s="27">
        <f>'Resource Management'!Y27-'Resource Management'!X27</f>
        <v>0</v>
      </c>
      <c r="K27" s="27">
        <f>'Resource Management'!AA27-'Resource Management'!Z27</f>
        <v>0</v>
      </c>
      <c r="L27" s="27">
        <f>'Resource Management'!AC27-'Resource Management'!AB27</f>
        <v>0</v>
      </c>
      <c r="M27" s="247">
        <f t="shared" si="1"/>
        <v>100979.99999999997</v>
      </c>
      <c r="N27" s="247">
        <f t="shared" si="2"/>
        <v>2475</v>
      </c>
      <c r="O27" s="247">
        <f t="shared" si="3"/>
        <v>222030.00000000009</v>
      </c>
      <c r="P27" s="247">
        <f t="shared" si="4"/>
        <v>0</v>
      </c>
      <c r="Q27" s="247">
        <f t="shared" si="5"/>
        <v>0</v>
      </c>
      <c r="R27" s="247">
        <f t="shared" si="6"/>
        <v>0</v>
      </c>
      <c r="S27" s="247">
        <f t="shared" si="7"/>
        <v>0</v>
      </c>
      <c r="T27" s="247">
        <f t="shared" si="8"/>
        <v>0</v>
      </c>
    </row>
    <row r="28" spans="1:22" x14ac:dyDescent="0.25">
      <c r="A28" s="340"/>
      <c r="B28" s="157" t="s">
        <v>217</v>
      </c>
      <c r="C28" s="157">
        <v>300</v>
      </c>
      <c r="D28" s="343"/>
      <c r="E28" s="27">
        <f>'Resource Management'!O28-'Resource Management'!N28</f>
        <v>371.14999999999986</v>
      </c>
      <c r="F28" s="27">
        <f>'Resource Management'!Q28-'Resource Management'!P28</f>
        <v>78.5</v>
      </c>
      <c r="G28" s="27">
        <f>'Resource Management'!S28-'Resource Management'!R28</f>
        <v>489.84999999999991</v>
      </c>
      <c r="H28" s="27">
        <f>'Resource Management'!U28-'Resource Management'!T28</f>
        <v>642.94999999999982</v>
      </c>
      <c r="I28" s="27">
        <f>'Resource Management'!W28-'Resource Management'!V28</f>
        <v>0</v>
      </c>
      <c r="J28" s="27">
        <f>'Resource Management'!Y28-'Resource Management'!X28</f>
        <v>22.050000000000182</v>
      </c>
      <c r="K28" s="27">
        <f>'Resource Management'!AA28-'Resource Management'!Z28</f>
        <v>84.699999999999818</v>
      </c>
      <c r="L28" s="27">
        <f>'Resource Management'!AC28-'Resource Management'!AB28</f>
        <v>0</v>
      </c>
      <c r="M28" s="247">
        <f t="shared" si="1"/>
        <v>111344.99999999996</v>
      </c>
      <c r="N28" s="247">
        <f t="shared" si="2"/>
        <v>23550</v>
      </c>
      <c r="O28" s="247">
        <f t="shared" si="3"/>
        <v>146954.99999999997</v>
      </c>
      <c r="P28" s="247">
        <f t="shared" si="4"/>
        <v>192884.99999999994</v>
      </c>
      <c r="Q28" s="247">
        <f t="shared" si="5"/>
        <v>0</v>
      </c>
      <c r="R28" s="247">
        <f t="shared" si="6"/>
        <v>6615.0000000000546</v>
      </c>
      <c r="S28" s="247">
        <f t="shared" si="7"/>
        <v>25409.999999999945</v>
      </c>
      <c r="T28" s="247">
        <f t="shared" si="8"/>
        <v>0</v>
      </c>
    </row>
    <row r="29" spans="1:22" x14ac:dyDescent="0.25">
      <c r="A29" s="340"/>
      <c r="B29" s="157" t="s">
        <v>218</v>
      </c>
      <c r="C29" s="157">
        <v>300</v>
      </c>
      <c r="D29" s="343"/>
      <c r="E29" s="27">
        <f>'Resource Management'!O29-'Resource Management'!N29</f>
        <v>36.75</v>
      </c>
      <c r="F29" s="27">
        <f>'Resource Management'!Q29-'Resource Management'!P29</f>
        <v>334.54999999999995</v>
      </c>
      <c r="G29" s="27">
        <f>'Resource Management'!S29-'Resource Management'!R29</f>
        <v>1089.5999999999997</v>
      </c>
      <c r="H29" s="27">
        <f>'Resource Management'!U29-'Resource Management'!T29</f>
        <v>264.59999999999991</v>
      </c>
      <c r="I29" s="27">
        <f>'Resource Management'!W29-'Resource Management'!V29</f>
        <v>983.30000000000018</v>
      </c>
      <c r="J29" s="27">
        <f>'Resource Management'!Y29-'Resource Management'!X29</f>
        <v>2470.1499999999996</v>
      </c>
      <c r="K29" s="27">
        <f>'Resource Management'!AA29-'Resource Management'!Z29</f>
        <v>961.59999999999945</v>
      </c>
      <c r="L29" s="27">
        <f>'Resource Management'!AC29-'Resource Management'!AB29</f>
        <v>453.59999999999945</v>
      </c>
      <c r="M29" s="247">
        <f t="shared" si="1"/>
        <v>11025</v>
      </c>
      <c r="N29" s="247">
        <f t="shared" si="2"/>
        <v>100364.99999999999</v>
      </c>
      <c r="O29" s="247">
        <f t="shared" si="3"/>
        <v>326879.99999999988</v>
      </c>
      <c r="P29" s="247">
        <f t="shared" si="4"/>
        <v>79379.999999999971</v>
      </c>
      <c r="Q29" s="247">
        <f t="shared" si="5"/>
        <v>294990.00000000006</v>
      </c>
      <c r="R29" s="247">
        <f t="shared" si="6"/>
        <v>741044.99999999988</v>
      </c>
      <c r="S29" s="247">
        <f t="shared" si="7"/>
        <v>288479.99999999983</v>
      </c>
      <c r="T29" s="247">
        <f t="shared" si="8"/>
        <v>136079.99999999983</v>
      </c>
    </row>
    <row r="30" spans="1:22" x14ac:dyDescent="0.25">
      <c r="A30" s="340"/>
      <c r="B30" s="157" t="s">
        <v>219</v>
      </c>
      <c r="C30" s="157">
        <v>300</v>
      </c>
      <c r="D30" s="343"/>
      <c r="E30" s="27">
        <f>'Resource Management'!O30-'Resource Management'!N30</f>
        <v>733.8</v>
      </c>
      <c r="F30" s="27">
        <f>'Resource Management'!Q30-'Resource Management'!P30</f>
        <v>5.3499999999999091</v>
      </c>
      <c r="G30" s="27">
        <f>'Resource Management'!S30-'Resource Management'!R30</f>
        <v>135.90000000000009</v>
      </c>
      <c r="H30" s="27">
        <f>'Resource Management'!U30-'Resource Management'!T30</f>
        <v>225.80000000000018</v>
      </c>
      <c r="I30" s="27">
        <f>'Resource Management'!W30-'Resource Management'!V30</f>
        <v>685.60000000000036</v>
      </c>
      <c r="J30" s="27">
        <f>'Resource Management'!Y30-'Resource Management'!X30</f>
        <v>2375.6499999999996</v>
      </c>
      <c r="K30" s="27">
        <f>'Resource Management'!AA30-'Resource Management'!Z30</f>
        <v>968.25</v>
      </c>
      <c r="L30" s="27">
        <f>'Resource Management'!AC30-'Resource Management'!AB30</f>
        <v>462.44999999999891</v>
      </c>
      <c r="M30" s="247">
        <f t="shared" si="1"/>
        <v>220140</v>
      </c>
      <c r="N30" s="247">
        <f t="shared" si="2"/>
        <v>1604.9999999999727</v>
      </c>
      <c r="O30" s="247">
        <f t="shared" si="3"/>
        <v>40770.000000000029</v>
      </c>
      <c r="P30" s="247">
        <f t="shared" si="4"/>
        <v>67740.000000000058</v>
      </c>
      <c r="Q30" s="247">
        <f t="shared" si="5"/>
        <v>205680.00000000012</v>
      </c>
      <c r="R30" s="247">
        <f t="shared" si="6"/>
        <v>712694.99999999988</v>
      </c>
      <c r="S30" s="247">
        <f t="shared" si="7"/>
        <v>290475</v>
      </c>
      <c r="T30" s="247">
        <f t="shared" si="8"/>
        <v>138734.99999999968</v>
      </c>
    </row>
    <row r="31" spans="1:22" x14ac:dyDescent="0.25">
      <c r="A31" s="341"/>
      <c r="B31" s="157" t="s">
        <v>220</v>
      </c>
      <c r="C31" s="157">
        <v>300</v>
      </c>
      <c r="D31" s="344"/>
      <c r="E31" s="27">
        <f>'Resource Management'!O31-'Resource Management'!N31</f>
        <v>348.1</v>
      </c>
      <c r="F31" s="27">
        <f>'Resource Management'!Q31-'Resource Management'!P31</f>
        <v>5</v>
      </c>
      <c r="G31" s="27">
        <f>'Resource Management'!S31-'Resource Management'!R31</f>
        <v>0</v>
      </c>
      <c r="H31" s="27">
        <f>'Resource Management'!U31-'Resource Management'!T31</f>
        <v>0</v>
      </c>
      <c r="I31" s="27">
        <f>'Resource Management'!W31-'Resource Management'!V31</f>
        <v>75.5</v>
      </c>
      <c r="J31" s="27">
        <f>'Resource Management'!Y31-'Resource Management'!X31</f>
        <v>290.89999999999998</v>
      </c>
      <c r="K31" s="27">
        <f>'Resource Management'!AA31-'Resource Management'!Z31</f>
        <v>90.450000000000045</v>
      </c>
      <c r="L31" s="27">
        <f>'Resource Management'!AC31-'Resource Management'!AB31</f>
        <v>0</v>
      </c>
      <c r="M31" s="247">
        <f t="shared" si="1"/>
        <v>104430</v>
      </c>
      <c r="N31" s="247">
        <f t="shared" si="2"/>
        <v>1500</v>
      </c>
      <c r="O31" s="247">
        <f t="shared" si="3"/>
        <v>0</v>
      </c>
      <c r="P31" s="247">
        <f t="shared" si="4"/>
        <v>0</v>
      </c>
      <c r="Q31" s="247">
        <f t="shared" si="5"/>
        <v>22650</v>
      </c>
      <c r="R31" s="247">
        <f t="shared" si="6"/>
        <v>87270</v>
      </c>
      <c r="S31" s="247">
        <f t="shared" si="7"/>
        <v>27135.000000000015</v>
      </c>
      <c r="T31" s="247">
        <f t="shared" si="8"/>
        <v>0</v>
      </c>
    </row>
    <row r="32" spans="1:22" x14ac:dyDescent="0.25">
      <c r="M32" s="183" t="s">
        <v>946</v>
      </c>
      <c r="N32" s="183" t="s">
        <v>947</v>
      </c>
      <c r="O32" s="183" t="s">
        <v>948</v>
      </c>
      <c r="P32" s="183" t="s">
        <v>949</v>
      </c>
      <c r="Q32" s="183" t="s">
        <v>950</v>
      </c>
      <c r="R32" s="183" t="s">
        <v>951</v>
      </c>
      <c r="S32" s="183" t="s">
        <v>952</v>
      </c>
      <c r="T32" s="183" t="s">
        <v>953</v>
      </c>
      <c r="U32" s="183" t="s">
        <v>958</v>
      </c>
      <c r="V32" s="183" t="s">
        <v>959</v>
      </c>
    </row>
    <row r="33" spans="1:22" x14ac:dyDescent="0.25">
      <c r="A33" s="337" t="s">
        <v>955</v>
      </c>
      <c r="B33" s="337"/>
      <c r="C33" s="337"/>
      <c r="D33" s="337"/>
      <c r="E33" s="337"/>
      <c r="F33" s="337"/>
      <c r="G33" s="337"/>
      <c r="H33" s="337"/>
      <c r="I33" s="337"/>
      <c r="J33" s="337"/>
      <c r="K33" s="337"/>
      <c r="L33" s="337"/>
      <c r="M33" s="247">
        <f>SUM(M3:M7)</f>
        <v>0</v>
      </c>
      <c r="N33" s="247">
        <f t="shared" ref="N33:T33" si="9">SUM(N3:N7)</f>
        <v>19000</v>
      </c>
      <c r="O33" s="247">
        <f t="shared" si="9"/>
        <v>214000</v>
      </c>
      <c r="P33" s="247">
        <f t="shared" si="9"/>
        <v>142400</v>
      </c>
      <c r="Q33" s="247">
        <f t="shared" si="9"/>
        <v>77600</v>
      </c>
      <c r="R33" s="247">
        <f t="shared" si="9"/>
        <v>1994200</v>
      </c>
      <c r="S33" s="247">
        <f t="shared" si="9"/>
        <v>1005212</v>
      </c>
      <c r="T33" s="247">
        <f t="shared" si="9"/>
        <v>1042730</v>
      </c>
      <c r="U33" s="247">
        <f>SUM(M33:T33)</f>
        <v>4495142</v>
      </c>
      <c r="V33" s="247">
        <f>U33/8</f>
        <v>561892.75</v>
      </c>
    </row>
    <row r="34" spans="1:22" x14ac:dyDescent="0.25">
      <c r="A34" s="337" t="s">
        <v>195</v>
      </c>
      <c r="B34" s="337"/>
      <c r="C34" s="337"/>
      <c r="D34" s="337"/>
      <c r="E34" s="337"/>
      <c r="F34" s="337"/>
      <c r="G34" s="337"/>
      <c r="H34" s="337"/>
      <c r="I34" s="337"/>
      <c r="J34" s="337"/>
      <c r="K34" s="337"/>
      <c r="L34" s="337"/>
      <c r="M34" s="247">
        <f>SUM(M8:M11)</f>
        <v>0</v>
      </c>
      <c r="N34" s="247">
        <f t="shared" ref="N34:T34" si="10">SUM(N8:N11)</f>
        <v>29999.999999999996</v>
      </c>
      <c r="O34" s="247">
        <f t="shared" si="10"/>
        <v>29999.999999999993</v>
      </c>
      <c r="P34" s="247">
        <f t="shared" si="10"/>
        <v>25000</v>
      </c>
      <c r="Q34" s="247">
        <f t="shared" si="10"/>
        <v>115200</v>
      </c>
      <c r="R34" s="247">
        <f t="shared" si="10"/>
        <v>104400</v>
      </c>
      <c r="S34" s="247">
        <f t="shared" si="10"/>
        <v>124000</v>
      </c>
      <c r="T34" s="247">
        <f t="shared" si="10"/>
        <v>76000</v>
      </c>
      <c r="U34" s="247">
        <f t="shared" ref="U34:U36" si="11">SUM(M34:T34)</f>
        <v>504600</v>
      </c>
      <c r="V34" s="247">
        <f t="shared" ref="V34:V36" si="12">U34/8</f>
        <v>63075</v>
      </c>
    </row>
    <row r="35" spans="1:22" x14ac:dyDescent="0.25">
      <c r="A35" s="337" t="s">
        <v>956</v>
      </c>
      <c r="B35" s="337"/>
      <c r="C35" s="337"/>
      <c r="D35" s="337"/>
      <c r="E35" s="337"/>
      <c r="F35" s="337"/>
      <c r="G35" s="337"/>
      <c r="H35" s="337"/>
      <c r="I35" s="337"/>
      <c r="J35" s="337"/>
      <c r="K35" s="337"/>
      <c r="L35" s="337"/>
      <c r="M35" s="247">
        <f>SUM(M12:M21)</f>
        <v>1250125</v>
      </c>
      <c r="N35" s="247">
        <f t="shared" ref="N35:T35" si="13">SUM(N12:N21)</f>
        <v>422325.00000000012</v>
      </c>
      <c r="O35" s="247">
        <f t="shared" si="13"/>
        <v>2043825</v>
      </c>
      <c r="P35" s="247">
        <f t="shared" si="13"/>
        <v>840600</v>
      </c>
      <c r="Q35" s="247">
        <f t="shared" si="13"/>
        <v>903900</v>
      </c>
      <c r="R35" s="247">
        <f t="shared" si="13"/>
        <v>2704850</v>
      </c>
      <c r="S35" s="247">
        <f t="shared" si="13"/>
        <v>2639975</v>
      </c>
      <c r="T35" s="247">
        <f t="shared" si="13"/>
        <v>507849.99999999953</v>
      </c>
      <c r="U35" s="247">
        <f t="shared" si="11"/>
        <v>11313450</v>
      </c>
      <c r="V35" s="247">
        <f t="shared" si="12"/>
        <v>1414181.25</v>
      </c>
    </row>
    <row r="36" spans="1:22" x14ac:dyDescent="0.25">
      <c r="A36" s="337" t="s">
        <v>957</v>
      </c>
      <c r="B36" s="337"/>
      <c r="C36" s="337"/>
      <c r="D36" s="337"/>
      <c r="E36" s="337"/>
      <c r="F36" s="337"/>
      <c r="G36" s="337"/>
      <c r="H36" s="337"/>
      <c r="I36" s="337"/>
      <c r="J36" s="337"/>
      <c r="K36" s="337"/>
      <c r="L36" s="337"/>
      <c r="M36" s="247">
        <f>SUM(M22:M31)</f>
        <v>732300</v>
      </c>
      <c r="N36" s="247">
        <f t="shared" ref="N36:T36" si="14">SUM(N22:N31)</f>
        <v>237990.00000000003</v>
      </c>
      <c r="O36" s="247">
        <f t="shared" si="14"/>
        <v>1161105</v>
      </c>
      <c r="P36" s="247">
        <f t="shared" si="14"/>
        <v>480539.99999999994</v>
      </c>
      <c r="Q36" s="247">
        <f t="shared" si="14"/>
        <v>523320.00000000017</v>
      </c>
      <c r="R36" s="247">
        <f t="shared" si="14"/>
        <v>1588350</v>
      </c>
      <c r="S36" s="247">
        <f t="shared" si="14"/>
        <v>1548014.9999999998</v>
      </c>
      <c r="T36" s="247">
        <f t="shared" si="14"/>
        <v>274814.99999999953</v>
      </c>
      <c r="U36" s="247">
        <f t="shared" si="11"/>
        <v>6546435</v>
      </c>
      <c r="V36" s="247">
        <f t="shared" si="12"/>
        <v>818304.375</v>
      </c>
    </row>
    <row r="37" spans="1:22" x14ac:dyDescent="0.25">
      <c r="A37" s="337" t="s">
        <v>978</v>
      </c>
      <c r="B37" s="337"/>
      <c r="C37" s="337"/>
      <c r="D37" s="337"/>
      <c r="E37" s="337"/>
      <c r="F37" s="337"/>
      <c r="G37" s="337"/>
      <c r="H37" s="337"/>
      <c r="I37" s="337"/>
      <c r="J37" s="337"/>
      <c r="K37" s="337"/>
      <c r="L37" s="337"/>
      <c r="M37" s="247">
        <f>F46*77500*0.5</f>
        <v>3826562.5000000005</v>
      </c>
      <c r="N37" s="247">
        <f t="shared" ref="N37:T37" si="15">G46*77500*0.5</f>
        <v>4531037.5</v>
      </c>
      <c r="O37" s="247">
        <f t="shared" si="15"/>
        <v>6042674.9999999991</v>
      </c>
      <c r="P37" s="247">
        <f t="shared" si="15"/>
        <v>7272987.5000000009</v>
      </c>
      <c r="Q37" s="247">
        <f t="shared" si="15"/>
        <v>7526412.5</v>
      </c>
      <c r="R37" s="247">
        <f t="shared" si="15"/>
        <v>5182812.5</v>
      </c>
      <c r="S37" s="247">
        <f t="shared" si="15"/>
        <v>3984274.9999999995</v>
      </c>
      <c r="T37" s="247">
        <f t="shared" si="15"/>
        <v>2752799.9999999995</v>
      </c>
      <c r="U37" s="247">
        <f t="shared" ref="U37" si="16">SUM(M37:T37)</f>
        <v>41119562.5</v>
      </c>
      <c r="V37" s="247">
        <f t="shared" ref="V37" si="17">U37/8</f>
        <v>5139945.3125</v>
      </c>
    </row>
    <row r="38" spans="1:22" x14ac:dyDescent="0.25">
      <c r="A38" s="337" t="s">
        <v>958</v>
      </c>
      <c r="B38" s="337"/>
      <c r="C38" s="337"/>
      <c r="D38" s="337"/>
      <c r="E38" s="337"/>
      <c r="F38" s="337"/>
      <c r="G38" s="337"/>
      <c r="H38" s="337"/>
      <c r="I38" s="337"/>
      <c r="J38" s="337"/>
      <c r="K38" s="337"/>
      <c r="L38" s="337"/>
      <c r="M38" s="247">
        <f>SUM(M33:M37)</f>
        <v>5808987.5</v>
      </c>
      <c r="N38" s="247">
        <f t="shared" ref="N38:T38" si="18">SUM(N33:N37)</f>
        <v>5240352.5</v>
      </c>
      <c r="O38" s="247">
        <f t="shared" si="18"/>
        <v>9491605</v>
      </c>
      <c r="P38" s="247">
        <f t="shared" si="18"/>
        <v>8761527.5</v>
      </c>
      <c r="Q38" s="247">
        <f t="shared" si="18"/>
        <v>9146432.5</v>
      </c>
      <c r="R38" s="247">
        <f t="shared" si="18"/>
        <v>11574612.5</v>
      </c>
      <c r="S38" s="247">
        <f t="shared" si="18"/>
        <v>9301477</v>
      </c>
      <c r="T38" s="247">
        <f t="shared" si="18"/>
        <v>4654194.9999999981</v>
      </c>
      <c r="U38" s="305"/>
      <c r="V38" s="305"/>
    </row>
    <row r="39" spans="1:22" ht="15.75" thickBot="1" x14ac:dyDescent="0.3">
      <c r="U39" s="303">
        <f>SUM(U33:U36)</f>
        <v>22859627</v>
      </c>
      <c r="V39" s="303">
        <f>SUM(V33:V36)</f>
        <v>2857453.375</v>
      </c>
    </row>
    <row r="40" spans="1:22" ht="15.75" thickBot="1" x14ac:dyDescent="0.3">
      <c r="E40" s="274" t="s">
        <v>961</v>
      </c>
      <c r="F40" s="275" t="s">
        <v>946</v>
      </c>
      <c r="G40" s="275" t="s">
        <v>947</v>
      </c>
      <c r="H40" s="275" t="s">
        <v>948</v>
      </c>
      <c r="I40" s="275" t="s">
        <v>949</v>
      </c>
      <c r="J40" s="275" t="s">
        <v>950</v>
      </c>
      <c r="K40" s="275" t="s">
        <v>951</v>
      </c>
      <c r="L40" s="275" t="s">
        <v>952</v>
      </c>
      <c r="M40" s="276" t="s">
        <v>953</v>
      </c>
    </row>
    <row r="41" spans="1:22" ht="15" customHeight="1" x14ac:dyDescent="0.25">
      <c r="A41" s="349" t="s">
        <v>473</v>
      </c>
      <c r="B41" s="345" t="s">
        <v>189</v>
      </c>
      <c r="C41" s="345"/>
      <c r="D41" s="346"/>
      <c r="E41" s="277">
        <f>'Resource Management'!N3</f>
        <v>11.84</v>
      </c>
      <c r="F41" s="220">
        <f>'Resource Management'!O3</f>
        <v>11.84</v>
      </c>
      <c r="G41" s="220">
        <f>'Resource Management'!Q3</f>
        <v>30.73</v>
      </c>
      <c r="H41" s="220">
        <f>'Resource Management'!S3</f>
        <v>75.55</v>
      </c>
      <c r="I41" s="220">
        <f>'Resource Management'!U3</f>
        <v>96.18</v>
      </c>
      <c r="J41" s="220">
        <f>'Resource Management'!W3</f>
        <v>95.67</v>
      </c>
      <c r="K41" s="220">
        <f>'Resource Management'!Y3</f>
        <v>50.120000000000005</v>
      </c>
      <c r="L41" s="220">
        <f>'Resource Management'!AA3</f>
        <v>20.000000000000004</v>
      </c>
      <c r="M41" s="272">
        <f>'Resource Management'!AC3</f>
        <v>0</v>
      </c>
      <c r="O41" s="304" t="s">
        <v>406</v>
      </c>
      <c r="P41" s="334">
        <f>U39</f>
        <v>22859627</v>
      </c>
      <c r="Q41" s="334"/>
    </row>
    <row r="42" spans="1:22" x14ac:dyDescent="0.25">
      <c r="A42" s="350"/>
      <c r="B42" s="352" t="s">
        <v>191</v>
      </c>
      <c r="C42" s="352"/>
      <c r="D42" s="353"/>
      <c r="E42" s="278">
        <f>'Resource Management'!N4</f>
        <v>13.83</v>
      </c>
      <c r="F42" s="27">
        <f>'Resource Management'!O4</f>
        <v>13.83</v>
      </c>
      <c r="G42" s="27">
        <f>'Resource Management'!Q4</f>
        <v>13.72</v>
      </c>
      <c r="H42" s="27">
        <f>'Resource Management'!S4</f>
        <v>13.6</v>
      </c>
      <c r="I42" s="27">
        <f>'Resource Management'!U4</f>
        <v>13.46</v>
      </c>
      <c r="J42" s="27">
        <f>'Resource Management'!W4</f>
        <v>13.31</v>
      </c>
      <c r="K42" s="27">
        <f>'Resource Management'!Y4</f>
        <v>10.15</v>
      </c>
      <c r="L42" s="27">
        <f>'Resource Management'!AA4</f>
        <v>10.02</v>
      </c>
      <c r="M42" s="273">
        <f>'Resource Management'!AC4</f>
        <v>9.9</v>
      </c>
      <c r="O42" s="304" t="s">
        <v>976</v>
      </c>
      <c r="P42" s="334">
        <f>SUM(E46:M46)*77500*0.5</f>
        <v>44946125</v>
      </c>
      <c r="Q42" s="334"/>
    </row>
    <row r="43" spans="1:22" x14ac:dyDescent="0.25">
      <c r="A43" s="350"/>
      <c r="B43" s="352" t="s">
        <v>192</v>
      </c>
      <c r="C43" s="352"/>
      <c r="D43" s="353"/>
      <c r="E43" s="278">
        <f>'Resource Management'!N5</f>
        <v>13.82</v>
      </c>
      <c r="F43" s="27">
        <f>'Resource Management'!O5</f>
        <v>13.82</v>
      </c>
      <c r="G43" s="27">
        <f>'Resource Management'!Q5</f>
        <v>13.66</v>
      </c>
      <c r="H43" s="27">
        <f>'Resource Management'!S5</f>
        <v>8.43</v>
      </c>
      <c r="I43" s="27">
        <f>'Resource Management'!U5</f>
        <v>5.2100000000000009</v>
      </c>
      <c r="J43" s="27">
        <f>'Resource Management'!W5</f>
        <v>3.0199999999999996</v>
      </c>
      <c r="K43" s="27">
        <f>'Resource Management'!Y5</f>
        <v>1.88</v>
      </c>
      <c r="L43" s="27">
        <f>'Resource Management'!AA5</f>
        <v>1.76</v>
      </c>
      <c r="M43" s="273">
        <f>'Resource Management'!AC5</f>
        <v>0.64999999999999991</v>
      </c>
      <c r="O43" s="304" t="s">
        <v>977</v>
      </c>
      <c r="P43" s="335">
        <f>SUM(P41:Q42)</f>
        <v>67805752</v>
      </c>
      <c r="Q43" s="336"/>
    </row>
    <row r="44" spans="1:22" x14ac:dyDescent="0.25">
      <c r="A44" s="350"/>
      <c r="B44" s="352" t="s">
        <v>193</v>
      </c>
      <c r="C44" s="352"/>
      <c r="D44" s="353"/>
      <c r="E44" s="278">
        <f>'Resource Management'!N6</f>
        <v>37.53</v>
      </c>
      <c r="F44" s="27">
        <f>'Resource Management'!O6</f>
        <v>37.53</v>
      </c>
      <c r="G44" s="27">
        <f>'Resource Management'!Q6</f>
        <v>37.24</v>
      </c>
      <c r="H44" s="27">
        <f>'Resource Management'!S6</f>
        <v>36.950000000000003</v>
      </c>
      <c r="I44" s="27">
        <f>'Resource Management'!U6</f>
        <v>36.65</v>
      </c>
      <c r="J44" s="27">
        <f>'Resource Management'!W6</f>
        <v>36.35</v>
      </c>
      <c r="K44" s="27">
        <f>'Resource Management'!Y6</f>
        <v>31.07</v>
      </c>
      <c r="L44" s="27">
        <f>'Resource Management'!AA6</f>
        <v>30.83</v>
      </c>
      <c r="M44" s="273">
        <f>'Resource Management'!AC6</f>
        <v>20.59</v>
      </c>
    </row>
    <row r="45" spans="1:22" ht="15.75" thickBot="1" x14ac:dyDescent="0.3">
      <c r="A45" s="350"/>
      <c r="B45" s="354" t="s">
        <v>194</v>
      </c>
      <c r="C45" s="354"/>
      <c r="D45" s="355"/>
      <c r="E45" s="282">
        <f>'Resource Management'!N7</f>
        <v>21.73</v>
      </c>
      <c r="F45" s="283">
        <f>'Resource Management'!O7</f>
        <v>21.73</v>
      </c>
      <c r="G45" s="283">
        <f>'Resource Management'!Q7</f>
        <v>21.58</v>
      </c>
      <c r="H45" s="283">
        <f>'Resource Management'!S7</f>
        <v>21.41</v>
      </c>
      <c r="I45" s="283">
        <f>'Resource Management'!U7</f>
        <v>36.19</v>
      </c>
      <c r="J45" s="283">
        <f>'Resource Management'!W7</f>
        <v>45.88</v>
      </c>
      <c r="K45" s="283">
        <f>'Resource Management'!Y7</f>
        <v>40.53</v>
      </c>
      <c r="L45" s="283">
        <f>'Resource Management'!AA7</f>
        <v>40.21</v>
      </c>
      <c r="M45" s="284">
        <f>'Resource Management'!AC7</f>
        <v>39.9</v>
      </c>
    </row>
    <row r="46" spans="1:22" ht="16.5" thickTop="1" thickBot="1" x14ac:dyDescent="0.3">
      <c r="A46" s="351"/>
      <c r="B46" s="347" t="s">
        <v>958</v>
      </c>
      <c r="C46" s="347"/>
      <c r="D46" s="348"/>
      <c r="E46" s="279">
        <f t="shared" ref="E46:M46" si="19">SUM(E41:E45)</f>
        <v>98.750000000000014</v>
      </c>
      <c r="F46" s="280">
        <f t="shared" si="19"/>
        <v>98.750000000000014</v>
      </c>
      <c r="G46" s="280">
        <f t="shared" si="19"/>
        <v>116.92999999999999</v>
      </c>
      <c r="H46" s="280">
        <f t="shared" si="19"/>
        <v>155.93999999999997</v>
      </c>
      <c r="I46" s="280">
        <f t="shared" si="19"/>
        <v>187.69000000000003</v>
      </c>
      <c r="J46" s="280">
        <f t="shared" si="19"/>
        <v>194.23</v>
      </c>
      <c r="K46" s="280">
        <f t="shared" si="19"/>
        <v>133.75</v>
      </c>
      <c r="L46" s="280">
        <f t="shared" si="19"/>
        <v>102.82</v>
      </c>
      <c r="M46" s="281">
        <f t="shared" si="19"/>
        <v>71.039999999999992</v>
      </c>
    </row>
    <row r="47" spans="1:22" ht="15" customHeight="1" x14ac:dyDescent="0.25">
      <c r="A47" s="349" t="s">
        <v>960</v>
      </c>
      <c r="B47" s="345" t="s">
        <v>189</v>
      </c>
      <c r="C47" s="345"/>
      <c r="D47" s="346"/>
      <c r="E47" s="287">
        <f>'Balanced Score Card'!F22</f>
        <v>0.6089</v>
      </c>
      <c r="F47" s="288">
        <f>'Balanced Score Card'!G22</f>
        <v>0.57279999999999998</v>
      </c>
      <c r="G47" s="288">
        <f>'Balanced Score Card'!H22</f>
        <v>0.79910000000000003</v>
      </c>
      <c r="H47" s="288">
        <f>'Balanced Score Card'!I22</f>
        <v>0.86780000000000002</v>
      </c>
      <c r="I47" s="288">
        <f>'Balanced Score Card'!J22</f>
        <v>0.91690000000000005</v>
      </c>
      <c r="J47" s="288">
        <f>'Balanced Score Card'!K22</f>
        <v>0.77500000000000002</v>
      </c>
      <c r="K47" s="288">
        <f>'Balanced Score Card'!L22</f>
        <v>0.77680000000000005</v>
      </c>
      <c r="L47" s="288">
        <f>'Balanced Score Card'!M22</f>
        <v>0.80830000000000002</v>
      </c>
      <c r="M47" s="292">
        <f>'Balanced Score Card'!E22</f>
        <v>0</v>
      </c>
    </row>
    <row r="48" spans="1:22" x14ac:dyDescent="0.25">
      <c r="A48" s="350"/>
      <c r="B48" s="352" t="s">
        <v>191</v>
      </c>
      <c r="C48" s="352"/>
      <c r="D48" s="353"/>
      <c r="E48" s="289">
        <f>'Balanced Score Card'!F23</f>
        <v>0.64890000000000003</v>
      </c>
      <c r="F48" s="170">
        <f>'Balanced Score Card'!G23</f>
        <v>0.58699999999999997</v>
      </c>
      <c r="G48" s="170">
        <f>'Balanced Score Card'!H23</f>
        <v>0.53059999999999996</v>
      </c>
      <c r="H48" s="170">
        <f>'Balanced Score Card'!I23</f>
        <v>0.47010000000000002</v>
      </c>
      <c r="I48" s="170">
        <f>'Balanced Score Card'!J23</f>
        <v>0.42070000000000002</v>
      </c>
      <c r="J48" s="170">
        <f>'Balanced Score Card'!K23</f>
        <v>0.39729999999999999</v>
      </c>
      <c r="K48" s="170">
        <f>'Balanced Score Card'!L23</f>
        <v>0.40050000000000002</v>
      </c>
      <c r="L48" s="170">
        <f>'Balanced Score Card'!M23</f>
        <v>0.41</v>
      </c>
      <c r="M48" s="293">
        <f>'Balanced Score Card'!E23</f>
        <v>0.4143</v>
      </c>
    </row>
    <row r="49" spans="1:16" x14ac:dyDescent="0.25">
      <c r="A49" s="350"/>
      <c r="B49" s="352" t="s">
        <v>192</v>
      </c>
      <c r="C49" s="352"/>
      <c r="D49" s="353"/>
      <c r="E49" s="289">
        <f>'Balanced Score Card'!F24</f>
        <v>0.50790000000000002</v>
      </c>
      <c r="F49" s="170">
        <f>'Balanced Score Card'!G24</f>
        <v>0.34949999999999998</v>
      </c>
      <c r="G49" s="170">
        <f>'Balanced Score Card'!H24</f>
        <v>0.2402</v>
      </c>
      <c r="H49" s="170">
        <f>'Balanced Score Card'!I24</f>
        <v>0.1691</v>
      </c>
      <c r="I49" s="170">
        <f>'Balanced Score Card'!J24</f>
        <v>0.124</v>
      </c>
      <c r="J49" s="170">
        <f>'Balanced Score Card'!K24</f>
        <v>9.6699999999999994E-2</v>
      </c>
      <c r="K49" s="170">
        <f>'Balanced Score Card'!L24</f>
        <v>7.9799999999999996E-2</v>
      </c>
      <c r="L49" s="170">
        <f>'Balanced Score Card'!M24</f>
        <v>6.2600000000000003E-2</v>
      </c>
      <c r="M49" s="293">
        <f>'Balanced Score Card'!E24</f>
        <v>6.2E-2</v>
      </c>
    </row>
    <row r="50" spans="1:16" x14ac:dyDescent="0.25">
      <c r="A50" s="350"/>
      <c r="B50" s="352" t="s">
        <v>193</v>
      </c>
      <c r="C50" s="352"/>
      <c r="D50" s="353"/>
      <c r="E50" s="289">
        <f>'Balanced Score Card'!F25</f>
        <v>0.65869999999999995</v>
      </c>
      <c r="F50" s="170">
        <f>'Balanced Score Card'!G25</f>
        <v>0.64</v>
      </c>
      <c r="G50" s="170">
        <f>'Balanced Score Card'!H25</f>
        <v>0.61909999999999998</v>
      </c>
      <c r="H50" s="170">
        <f>'Balanced Score Card'!I25</f>
        <v>0.61609999999999998</v>
      </c>
      <c r="I50" s="170">
        <f>'Balanced Score Card'!J25</f>
        <v>0.63590000000000002</v>
      </c>
      <c r="J50" s="170">
        <f>'Balanced Score Card'!K25</f>
        <v>0.6502</v>
      </c>
      <c r="K50" s="170">
        <f>'Balanced Score Card'!L25</f>
        <v>0.65539999999999998</v>
      </c>
      <c r="L50" s="170">
        <f>'Balanced Score Card'!M25</f>
        <v>0.62080000000000002</v>
      </c>
      <c r="M50" s="293">
        <f>'Balanced Score Card'!E25</f>
        <v>0.63070000000000004</v>
      </c>
    </row>
    <row r="51" spans="1:16" ht="15.75" thickBot="1" x14ac:dyDescent="0.3">
      <c r="A51" s="350"/>
      <c r="B51" s="354" t="s">
        <v>194</v>
      </c>
      <c r="C51" s="354"/>
      <c r="D51" s="355"/>
      <c r="E51" s="290">
        <f>'Balanced Score Card'!F26</f>
        <v>0.72309999999999997</v>
      </c>
      <c r="F51" s="291">
        <f>'Balanced Score Card'!G26</f>
        <v>0.65910000000000002</v>
      </c>
      <c r="G51" s="291">
        <f>'Balanced Score Card'!H26</f>
        <v>0.55310000000000004</v>
      </c>
      <c r="H51" s="291">
        <f>'Balanced Score Card'!I26</f>
        <v>0.39350000000000002</v>
      </c>
      <c r="I51" s="291">
        <f>'Balanced Score Card'!J26</f>
        <v>0.56430000000000002</v>
      </c>
      <c r="J51" s="291">
        <f>'Balanced Score Card'!K26</f>
        <v>0.64049999999999996</v>
      </c>
      <c r="K51" s="291">
        <f>'Balanced Score Card'!L26</f>
        <v>0.64859999999999995</v>
      </c>
      <c r="L51" s="291">
        <f>'Balanced Score Card'!M26</f>
        <v>0.67149999999999999</v>
      </c>
      <c r="M51" s="294">
        <f>'Balanced Score Card'!E26</f>
        <v>0.6925</v>
      </c>
    </row>
    <row r="52" spans="1:16" ht="16.5" thickTop="1" thickBot="1" x14ac:dyDescent="0.3">
      <c r="A52" s="351"/>
      <c r="B52" s="347" t="s">
        <v>958</v>
      </c>
      <c r="C52" s="347"/>
      <c r="D52" s="348"/>
      <c r="E52" s="295">
        <f>SUMPRODUCT(E41:E45,E47:E51)/E46</f>
        <v>0.64442344303797461</v>
      </c>
      <c r="F52" s="296">
        <f t="shared" ref="F52:M52" si="20">SUMPRODUCT(F41:F45,F47:F51)/F46</f>
        <v>0.58806779746835436</v>
      </c>
      <c r="G52" s="296">
        <f t="shared" si="20"/>
        <v>0.59957657572906875</v>
      </c>
      <c r="H52" s="296">
        <f t="shared" si="20"/>
        <v>0.67058415416185735</v>
      </c>
      <c r="I52" s="296">
        <f t="shared" si="20"/>
        <v>0.73644763173317696</v>
      </c>
      <c r="J52" s="296">
        <f t="shared" si="20"/>
        <v>0.68344363383617368</v>
      </c>
      <c r="K52" s="296">
        <f t="shared" si="20"/>
        <v>0.67139701682243003</v>
      </c>
      <c r="L52" s="296">
        <f t="shared" si="20"/>
        <v>0.64700111845944364</v>
      </c>
      <c r="M52" s="297">
        <f t="shared" si="20"/>
        <v>0.63004973254504515</v>
      </c>
      <c r="O52" s="298"/>
      <c r="P52" s="298"/>
    </row>
    <row r="53" spans="1:16" ht="15" customHeight="1" x14ac:dyDescent="0.25">
      <c r="A53" s="349" t="s">
        <v>962</v>
      </c>
      <c r="B53" s="345" t="s">
        <v>189</v>
      </c>
      <c r="C53" s="345"/>
      <c r="D53" s="346"/>
      <c r="E53" s="287">
        <f>'Balanced Score Card'!F17</f>
        <v>0</v>
      </c>
      <c r="F53" s="288">
        <f>'Balanced Score Card'!G17</f>
        <v>0.68169999999999997</v>
      </c>
      <c r="G53" s="288">
        <f>'Balanced Score Card'!H17</f>
        <v>0.76600000000000001</v>
      </c>
      <c r="H53" s="288">
        <f>'Balanced Score Card'!I17</f>
        <v>0.71599999999999997</v>
      </c>
      <c r="I53" s="288">
        <f>'Balanced Score Card'!J17</f>
        <v>0.78900000000000003</v>
      </c>
      <c r="J53" s="288">
        <f>'Balanced Score Card'!K17</f>
        <v>0.1164</v>
      </c>
      <c r="K53" s="288">
        <f>'Balanced Score Card'!L17</f>
        <v>0.81869999999999998</v>
      </c>
      <c r="L53" s="288">
        <f>'Balanced Score Card'!M17</f>
        <v>0.8387</v>
      </c>
      <c r="M53" s="292">
        <f>'Balanced Score Card'!E17</f>
        <v>1</v>
      </c>
    </row>
    <row r="54" spans="1:16" x14ac:dyDescent="0.25">
      <c r="A54" s="350"/>
      <c r="B54" s="352" t="s">
        <v>191</v>
      </c>
      <c r="C54" s="352"/>
      <c r="D54" s="353"/>
      <c r="E54" s="289">
        <f>'Balanced Score Card'!F18</f>
        <v>0.53459999999999996</v>
      </c>
      <c r="F54" s="170">
        <f>'Balanced Score Card'!G18</f>
        <v>0.53359999999999996</v>
      </c>
      <c r="G54" s="170">
        <f>'Balanced Score Card'!H18</f>
        <v>0.53249999999999997</v>
      </c>
      <c r="H54" s="170">
        <f>'Balanced Score Card'!I18</f>
        <v>0.47220000000000001</v>
      </c>
      <c r="I54" s="170">
        <f>'Balanced Score Card'!J18</f>
        <v>0.51759999999999995</v>
      </c>
      <c r="J54" s="170">
        <f>'Balanced Score Card'!K18</f>
        <v>0.57789999999999997</v>
      </c>
      <c r="K54" s="170">
        <f>'Balanced Score Card'!L18</f>
        <v>0.71419999999999995</v>
      </c>
      <c r="L54" s="170">
        <f>'Balanced Score Card'!M18</f>
        <v>0.7198</v>
      </c>
      <c r="M54" s="293">
        <f>'Balanced Score Card'!E18</f>
        <v>0.6855</v>
      </c>
    </row>
    <row r="55" spans="1:16" x14ac:dyDescent="0.25">
      <c r="A55" s="350"/>
      <c r="B55" s="352" t="s">
        <v>192</v>
      </c>
      <c r="C55" s="352"/>
      <c r="D55" s="353"/>
      <c r="E55" s="289">
        <f>'Balanced Score Card'!F19</f>
        <v>9.3600000000000003E-2</v>
      </c>
      <c r="F55" s="170">
        <f>'Balanced Score Card'!G19</f>
        <v>9.3600000000000003E-2</v>
      </c>
      <c r="G55" s="170">
        <f>'Balanced Score Card'!H19</f>
        <v>9.3899999999999997E-2</v>
      </c>
      <c r="H55" s="170">
        <f>'Balanced Score Card'!I19</f>
        <v>0.1346</v>
      </c>
      <c r="I55" s="170">
        <f>'Balanced Score Card'!J19</f>
        <v>0.2079</v>
      </c>
      <c r="J55" s="170">
        <f>'Balanced Score Card'!K19</f>
        <v>0.29249999999999998</v>
      </c>
      <c r="K55" s="170">
        <f>'Balanced Score Card'!L19</f>
        <v>0.38119999999999998</v>
      </c>
      <c r="L55" s="170">
        <f>'Balanced Score Card'!M19</f>
        <v>0.27660000000000001</v>
      </c>
      <c r="M55" s="293">
        <f>'Balanced Score Card'!E19</f>
        <v>0.76400000000000001</v>
      </c>
    </row>
    <row r="56" spans="1:16" x14ac:dyDescent="0.25">
      <c r="A56" s="350"/>
      <c r="B56" s="352" t="s">
        <v>193</v>
      </c>
      <c r="C56" s="352"/>
      <c r="D56" s="353"/>
      <c r="E56" s="289">
        <f>'Balanced Score Card'!F20</f>
        <v>0.94479999999999997</v>
      </c>
      <c r="F56" s="170">
        <f>'Balanced Score Card'!G20</f>
        <v>0.95209999999999995</v>
      </c>
      <c r="G56" s="170">
        <f>'Balanced Score Card'!H20</f>
        <v>0.9597</v>
      </c>
      <c r="H56" s="170">
        <f>'Balanced Score Card'!I20</f>
        <v>0.86339999999999995</v>
      </c>
      <c r="I56" s="170">
        <f>'Balanced Score Card'!J20</f>
        <v>0.8347</v>
      </c>
      <c r="J56" s="170">
        <f>'Balanced Score Card'!K20</f>
        <v>0.6966</v>
      </c>
      <c r="K56" s="170">
        <f>'Balanced Score Card'!L20</f>
        <v>0.67169999999999996</v>
      </c>
      <c r="L56" s="170">
        <f>'Balanced Score Card'!M20</f>
        <v>0.55779999999999996</v>
      </c>
      <c r="M56" s="293">
        <f>'Balanced Score Card'!E20</f>
        <v>0.74139999999999995</v>
      </c>
    </row>
    <row r="57" spans="1:16" ht="15.75" thickBot="1" x14ac:dyDescent="0.3">
      <c r="A57" s="350"/>
      <c r="B57" s="354" t="s">
        <v>194</v>
      </c>
      <c r="C57" s="354"/>
      <c r="D57" s="355"/>
      <c r="E57" s="290">
        <f>'Balanced Score Card'!F21</f>
        <v>0.81659999999999999</v>
      </c>
      <c r="F57" s="291">
        <f>'Balanced Score Card'!G21</f>
        <v>1.1052999999999999</v>
      </c>
      <c r="G57" s="291">
        <f>'Balanced Score Card'!H21</f>
        <v>1.2111000000000001</v>
      </c>
      <c r="H57" s="291">
        <f>'Balanced Score Card'!I21</f>
        <v>1.4988999999999999</v>
      </c>
      <c r="I57" s="291">
        <f>'Balanced Score Card'!J21</f>
        <v>0.94420000000000004</v>
      </c>
      <c r="J57" s="291">
        <f>'Balanced Score Card'!K21</f>
        <v>0.67520000000000002</v>
      </c>
      <c r="K57" s="291">
        <f>'Balanced Score Card'!L21</f>
        <v>0.80840000000000001</v>
      </c>
      <c r="L57" s="291">
        <f>'Balanced Score Card'!M21</f>
        <v>0.77980000000000005</v>
      </c>
      <c r="M57" s="294">
        <f>'Balanced Score Card'!E21</f>
        <v>0.71719999999999995</v>
      </c>
    </row>
    <row r="58" spans="1:16" ht="16.5" thickTop="1" thickBot="1" x14ac:dyDescent="0.3">
      <c r="A58" s="351"/>
      <c r="B58" s="347" t="s">
        <v>958</v>
      </c>
      <c r="C58" s="347"/>
      <c r="D58" s="348"/>
      <c r="E58" s="295">
        <f>SUMPRODUCT(E41:E45,E53:E57)/E46</f>
        <v>0.62673551392405047</v>
      </c>
      <c r="F58" s="296">
        <f t="shared" ref="F58:M58" si="21">SUMPRODUCT(F41:F45,F53:F57)/F46</f>
        <v>0.77463341772151884</v>
      </c>
      <c r="G58" s="296">
        <f t="shared" si="21"/>
        <v>0.80392132044813147</v>
      </c>
      <c r="H58" s="296">
        <f t="shared" si="21"/>
        <v>0.80572320764396577</v>
      </c>
      <c r="I58" s="296">
        <f t="shared" si="21"/>
        <v>0.79225546379668577</v>
      </c>
      <c r="J58" s="296">
        <f t="shared" si="21"/>
        <v>0.39134414354116254</v>
      </c>
      <c r="K58" s="296">
        <f t="shared" si="21"/>
        <v>0.76735103551401884</v>
      </c>
      <c r="L58" s="296">
        <f t="shared" si="21"/>
        <v>0.71023092783505171</v>
      </c>
      <c r="M58" s="297">
        <f t="shared" si="21"/>
        <v>0.7202246058558559</v>
      </c>
      <c r="O58" s="298"/>
      <c r="P58" s="298"/>
    </row>
    <row r="59" spans="1:16" ht="15" customHeight="1" x14ac:dyDescent="0.25">
      <c r="A59" s="349" t="s">
        <v>480</v>
      </c>
      <c r="B59" s="345" t="s">
        <v>189</v>
      </c>
      <c r="C59" s="345"/>
      <c r="D59" s="346"/>
      <c r="E59" s="287">
        <f>AVERAGE('Balanced Score Card'!F7:F8)</f>
        <v>0.50095000000000001</v>
      </c>
      <c r="F59" s="288">
        <f>AVERAGE('Balanced Score Card'!G7:G8)</f>
        <v>0.48594999999999999</v>
      </c>
      <c r="G59" s="288">
        <f>AVERAGE('Balanced Score Card'!H7:H8)</f>
        <v>0.50334999999999996</v>
      </c>
      <c r="H59" s="288">
        <f>AVERAGE('Balanced Score Card'!I7:I8)</f>
        <v>0.68345</v>
      </c>
      <c r="I59" s="288">
        <f>AVERAGE('Balanced Score Card'!J7:J8)</f>
        <v>0.79865000000000008</v>
      </c>
      <c r="J59" s="288">
        <f>AVERAGE('Balanced Score Card'!K7:K8)</f>
        <v>0.91844999999999999</v>
      </c>
      <c r="K59" s="288">
        <f>AVERAGE('Balanced Score Card'!L7:L8)</f>
        <v>0.95884999999999998</v>
      </c>
      <c r="L59" s="288">
        <f>AVERAGE('Balanced Score Card'!M7:M8)</f>
        <v>0.96879999999999999</v>
      </c>
      <c r="M59" s="292">
        <f>AVERAGE('Balanced Score Card'!E7:E8)</f>
        <v>0.21055000000000001</v>
      </c>
    </row>
    <row r="60" spans="1:16" x14ac:dyDescent="0.25">
      <c r="A60" s="350"/>
      <c r="B60" s="352" t="s">
        <v>191</v>
      </c>
      <c r="C60" s="352"/>
      <c r="D60" s="353"/>
      <c r="E60" s="289">
        <f>AVERAGE('Balanced Score Card'!F9:F10)</f>
        <v>0.4597</v>
      </c>
      <c r="F60" s="170">
        <f>AVERAGE('Balanced Score Card'!G9:G10)</f>
        <v>0.4657</v>
      </c>
      <c r="G60" s="170">
        <f>AVERAGE('Balanced Score Card'!H9:H10)</f>
        <v>0.49630000000000002</v>
      </c>
      <c r="H60" s="170">
        <f>AVERAGE('Balanced Score Card'!I9:I10)</f>
        <v>0.69689999999999996</v>
      </c>
      <c r="I60" s="170">
        <f>AVERAGE('Balanced Score Card'!J9:J10)</f>
        <v>0.84745000000000004</v>
      </c>
      <c r="J60" s="170">
        <f>AVERAGE('Balanced Score Card'!K9:K10)</f>
        <v>0.94479999999999997</v>
      </c>
      <c r="K60" s="170">
        <f>AVERAGE('Balanced Score Card'!L9:L10)</f>
        <v>0.97275</v>
      </c>
      <c r="L60" s="170">
        <f>AVERAGE('Balanced Score Card'!M9:M10)</f>
        <v>0.97885</v>
      </c>
      <c r="M60" s="293">
        <f>AVERAGE('Balanced Score Card'!E9:E10)</f>
        <v>0.97985</v>
      </c>
    </row>
    <row r="61" spans="1:16" x14ac:dyDescent="0.25">
      <c r="A61" s="350"/>
      <c r="B61" s="352" t="s">
        <v>192</v>
      </c>
      <c r="C61" s="352"/>
      <c r="D61" s="353"/>
      <c r="E61" s="289">
        <f>AVERAGE('Balanced Score Card'!F11:F12)</f>
        <v>0.45785000000000003</v>
      </c>
      <c r="F61" s="170">
        <f>AVERAGE('Balanced Score Card'!G11:G12)</f>
        <v>0.46385000000000004</v>
      </c>
      <c r="G61" s="170">
        <f>AVERAGE('Balanced Score Card'!H11:H12)</f>
        <v>0.4945</v>
      </c>
      <c r="H61" s="170">
        <f>AVERAGE('Balanced Score Card'!I11:I12)</f>
        <v>0.69584999999999997</v>
      </c>
      <c r="I61" s="170">
        <f>AVERAGE('Balanced Score Card'!J11:J12)</f>
        <v>0.84689999999999999</v>
      </c>
      <c r="J61" s="170">
        <f>AVERAGE('Balanced Score Card'!K11:K12)</f>
        <v>0.94530000000000003</v>
      </c>
      <c r="K61" s="170">
        <f>AVERAGE('Balanced Score Card'!L11:L12)</f>
        <v>0.97294999999999998</v>
      </c>
      <c r="L61" s="170">
        <f>AVERAGE('Balanced Score Card'!M11:M12)</f>
        <v>0.97889999999999999</v>
      </c>
      <c r="M61" s="293">
        <f>AVERAGE('Balanced Score Card'!E11:E12)</f>
        <v>0.97985</v>
      </c>
    </row>
    <row r="62" spans="1:16" x14ac:dyDescent="0.25">
      <c r="A62" s="350"/>
      <c r="B62" s="352" t="s">
        <v>193</v>
      </c>
      <c r="C62" s="352"/>
      <c r="D62" s="353"/>
      <c r="E62" s="289">
        <f>AVERAGE('Balanced Score Card'!F13:F14)</f>
        <v>0.48499999999999999</v>
      </c>
      <c r="F62" s="170">
        <f>AVERAGE('Balanced Score Card'!G13:G14)</f>
        <v>0.49099999999999999</v>
      </c>
      <c r="G62" s="170">
        <f>AVERAGE('Balanced Score Card'!H13:H14)</f>
        <v>0.52039999999999997</v>
      </c>
      <c r="H62" s="170">
        <f>AVERAGE('Balanced Score Card'!I13:I14)</f>
        <v>0.71119999999999994</v>
      </c>
      <c r="I62" s="170">
        <f>AVERAGE('Balanced Score Card'!J13:J14)</f>
        <v>0.85440000000000005</v>
      </c>
      <c r="J62" s="170">
        <f>AVERAGE('Balanced Score Card'!K13:K14)</f>
        <v>0.94555</v>
      </c>
      <c r="K62" s="170">
        <f>AVERAGE('Balanced Score Card'!L13:L14)</f>
        <v>0.97289999999999999</v>
      </c>
      <c r="L62" s="170">
        <f>AVERAGE('Balanced Score Card'!M13:M14)</f>
        <v>0.97889999999999999</v>
      </c>
      <c r="M62" s="293">
        <f>AVERAGE('Balanced Score Card'!E13:E14)</f>
        <v>0.97985</v>
      </c>
    </row>
    <row r="63" spans="1:16" ht="15.75" thickBot="1" x14ac:dyDescent="0.3">
      <c r="A63" s="350"/>
      <c r="B63" s="354" t="s">
        <v>194</v>
      </c>
      <c r="C63" s="354"/>
      <c r="D63" s="355"/>
      <c r="E63" s="290">
        <f>AVERAGE('Balanced Score Card'!F15:F16)</f>
        <v>0.52449999999999997</v>
      </c>
      <c r="F63" s="291">
        <f>AVERAGE('Balanced Score Card'!G15:G16)</f>
        <v>0.53049999999999997</v>
      </c>
      <c r="G63" s="291">
        <f>AVERAGE('Balanced Score Card'!H15:H16)</f>
        <v>0.55800000000000005</v>
      </c>
      <c r="H63" s="291">
        <f>AVERAGE('Balanced Score Card'!I15:I16)</f>
        <v>0.73360000000000003</v>
      </c>
      <c r="I63" s="291">
        <f>AVERAGE('Balanced Score Card'!J15:J16)</f>
        <v>0.81340000000000001</v>
      </c>
      <c r="J63" s="291">
        <f>AVERAGE('Balanced Score Card'!K15:K16)</f>
        <v>0.9133</v>
      </c>
      <c r="K63" s="291">
        <f>AVERAGE('Balanced Score Card'!L15:L16)</f>
        <v>0.96635000000000004</v>
      </c>
      <c r="L63" s="291">
        <f>AVERAGE('Balanced Score Card'!M15:M16)</f>
        <v>0.97785</v>
      </c>
      <c r="M63" s="294">
        <f>AVERAGE('Balanced Score Card'!E15:E16)</f>
        <v>0.97970000000000002</v>
      </c>
    </row>
    <row r="64" spans="1:16" ht="16.5" thickTop="1" thickBot="1" x14ac:dyDescent="0.3">
      <c r="A64" s="351"/>
      <c r="B64" s="347" t="s">
        <v>958</v>
      </c>
      <c r="C64" s="347"/>
      <c r="D64" s="348"/>
      <c r="E64" s="295">
        <f>SUMPRODUCT(E41:E45,E59:E63)/E46</f>
        <v>0.48826147848101265</v>
      </c>
      <c r="F64" s="296">
        <f t="shared" ref="F64:M64" si="22">SUMPRODUCT(F41:F45,F59:F63)/F46</f>
        <v>0.49174360506329112</v>
      </c>
      <c r="G64" s="296">
        <f t="shared" si="22"/>
        <v>0.51700493885230481</v>
      </c>
      <c r="H64" s="296">
        <f t="shared" si="22"/>
        <v>0.69875412979351059</v>
      </c>
      <c r="I64" s="296">
        <f t="shared" si="22"/>
        <v>0.81721929245031699</v>
      </c>
      <c r="J64" s="296">
        <f t="shared" si="22"/>
        <v>0.9245284044689287</v>
      </c>
      <c r="K64" s="296">
        <f t="shared" si="22"/>
        <v>0.96563954392523366</v>
      </c>
      <c r="L64" s="296">
        <f t="shared" si="22"/>
        <v>0.97651990371523056</v>
      </c>
      <c r="M64" s="297">
        <f t="shared" si="22"/>
        <v>0.97976575168918933</v>
      </c>
      <c r="O64" s="298"/>
      <c r="P64" s="298"/>
    </row>
    <row r="66" spans="1:13" x14ac:dyDescent="0.25">
      <c r="A66" s="299"/>
      <c r="B66" s="223"/>
      <c r="C66" s="223"/>
      <c r="D66" s="223"/>
      <c r="E66" s="183" t="s">
        <v>961</v>
      </c>
      <c r="F66" s="183" t="s">
        <v>946</v>
      </c>
      <c r="G66" s="183" t="s">
        <v>947</v>
      </c>
      <c r="H66" s="183" t="s">
        <v>948</v>
      </c>
      <c r="I66" s="183" t="s">
        <v>949</v>
      </c>
      <c r="J66" s="183" t="s">
        <v>950</v>
      </c>
      <c r="K66" s="183" t="s">
        <v>951</v>
      </c>
      <c r="L66" s="183" t="s">
        <v>952</v>
      </c>
      <c r="M66" s="183" t="s">
        <v>953</v>
      </c>
    </row>
    <row r="67" spans="1:13" x14ac:dyDescent="0.25">
      <c r="A67" s="356" t="s">
        <v>963</v>
      </c>
      <c r="B67" s="352" t="s">
        <v>964</v>
      </c>
      <c r="C67" s="352"/>
      <c r="D67" s="352"/>
      <c r="E67" s="27">
        <v>3.33</v>
      </c>
      <c r="F67" s="27">
        <v>3.83</v>
      </c>
      <c r="G67" s="27">
        <v>4.33</v>
      </c>
      <c r="H67" s="27">
        <v>4.83</v>
      </c>
      <c r="I67" s="27">
        <v>4.87</v>
      </c>
      <c r="J67" s="27">
        <v>4.28</v>
      </c>
      <c r="K67" s="27">
        <v>4.22</v>
      </c>
      <c r="L67" s="27">
        <v>3.96</v>
      </c>
      <c r="M67" s="27">
        <v>4.1900000000000004</v>
      </c>
    </row>
    <row r="68" spans="1:13" x14ac:dyDescent="0.25">
      <c r="A68" s="356"/>
      <c r="B68" s="352" t="s">
        <v>970</v>
      </c>
      <c r="C68" s="352"/>
      <c r="D68" s="352"/>
      <c r="E68" s="27">
        <v>4.74</v>
      </c>
      <c r="F68" s="27">
        <v>4.01</v>
      </c>
      <c r="G68" s="27">
        <v>2.71</v>
      </c>
      <c r="H68" s="27">
        <v>2.37</v>
      </c>
      <c r="I68" s="27">
        <v>2.87</v>
      </c>
      <c r="J68" s="27">
        <v>2.77</v>
      </c>
      <c r="K68" s="27">
        <v>2.62</v>
      </c>
      <c r="L68" s="27">
        <v>2.5499999999999998</v>
      </c>
      <c r="M68" s="27">
        <v>2.57</v>
      </c>
    </row>
    <row r="69" spans="1:13" x14ac:dyDescent="0.25">
      <c r="A69" s="356"/>
      <c r="B69" s="352" t="s">
        <v>965</v>
      </c>
      <c r="C69" s="352"/>
      <c r="D69" s="352"/>
      <c r="E69" s="27">
        <v>4.83</v>
      </c>
      <c r="F69" s="27">
        <v>5.33</v>
      </c>
      <c r="G69" s="27">
        <v>5.83</v>
      </c>
      <c r="H69" s="27">
        <v>6.33</v>
      </c>
      <c r="I69" s="27">
        <v>6.83</v>
      </c>
      <c r="J69" s="27">
        <v>7.33</v>
      </c>
      <c r="K69" s="27">
        <v>7.83</v>
      </c>
      <c r="L69" s="27">
        <v>6.47</v>
      </c>
      <c r="M69" s="27">
        <v>4.84</v>
      </c>
    </row>
    <row r="70" spans="1:13" x14ac:dyDescent="0.25">
      <c r="A70" s="356"/>
      <c r="B70" s="352" t="s">
        <v>966</v>
      </c>
      <c r="C70" s="352"/>
      <c r="D70" s="352"/>
      <c r="E70" s="27">
        <v>4.33</v>
      </c>
      <c r="F70" s="27">
        <v>4.83</v>
      </c>
      <c r="G70" s="27">
        <v>5.33</v>
      </c>
      <c r="H70" s="27">
        <v>5.83</v>
      </c>
      <c r="I70" s="27">
        <v>6.33</v>
      </c>
      <c r="J70" s="27">
        <v>6.08</v>
      </c>
      <c r="K70" s="27">
        <v>5.05</v>
      </c>
      <c r="L70" s="27">
        <v>4.24</v>
      </c>
      <c r="M70" s="27">
        <v>4.74</v>
      </c>
    </row>
    <row r="71" spans="1:13" x14ac:dyDescent="0.25">
      <c r="A71" s="356"/>
      <c r="B71" s="352" t="s">
        <v>967</v>
      </c>
      <c r="C71" s="352"/>
      <c r="D71" s="352"/>
      <c r="E71" s="27">
        <v>8.33</v>
      </c>
      <c r="F71" s="27">
        <v>8.83</v>
      </c>
      <c r="G71" s="27">
        <v>9.33</v>
      </c>
      <c r="H71" s="27">
        <v>9.83</v>
      </c>
      <c r="I71" s="27">
        <v>10.33</v>
      </c>
      <c r="J71" s="27">
        <v>10.83</v>
      </c>
      <c r="K71" s="27">
        <v>11.33</v>
      </c>
      <c r="L71" s="27">
        <v>11.83</v>
      </c>
      <c r="M71" s="27">
        <v>12.33</v>
      </c>
    </row>
    <row r="72" spans="1:13" x14ac:dyDescent="0.25">
      <c r="A72" s="356"/>
      <c r="B72" s="352" t="s">
        <v>968</v>
      </c>
      <c r="C72" s="352"/>
      <c r="D72" s="352"/>
      <c r="E72" s="27">
        <v>3.54</v>
      </c>
      <c r="F72" s="27">
        <v>2.93</v>
      </c>
      <c r="G72" s="27">
        <v>3.14</v>
      </c>
      <c r="H72" s="27">
        <v>2.63</v>
      </c>
      <c r="I72" s="27">
        <v>2.82</v>
      </c>
      <c r="J72" s="27">
        <v>3</v>
      </c>
      <c r="K72" s="27">
        <v>2.74</v>
      </c>
      <c r="L72" s="27">
        <v>2.62</v>
      </c>
      <c r="M72" s="27">
        <v>3.02</v>
      </c>
    </row>
    <row r="73" spans="1:13" x14ac:dyDescent="0.25">
      <c r="A73" s="356"/>
      <c r="B73" s="352" t="s">
        <v>969</v>
      </c>
      <c r="C73" s="352"/>
      <c r="D73" s="352"/>
      <c r="E73" s="27">
        <v>5.3</v>
      </c>
      <c r="F73" s="27">
        <v>4.2</v>
      </c>
      <c r="G73" s="27">
        <v>4.33</v>
      </c>
      <c r="H73" s="27">
        <v>3.51</v>
      </c>
      <c r="I73" s="27">
        <v>3.62</v>
      </c>
      <c r="J73" s="27">
        <v>3.73</v>
      </c>
      <c r="K73" s="27">
        <v>3.31</v>
      </c>
      <c r="L73" s="27">
        <v>3.09</v>
      </c>
      <c r="M73" s="27">
        <v>3.48</v>
      </c>
    </row>
    <row r="75" spans="1:13" x14ac:dyDescent="0.25">
      <c r="A75" s="357" t="s">
        <v>973</v>
      </c>
      <c r="B75" s="300"/>
      <c r="C75" s="301"/>
      <c r="D75" s="302" t="s">
        <v>971</v>
      </c>
      <c r="E75" s="286">
        <v>0.4763</v>
      </c>
      <c r="F75" s="286">
        <v>0.53720000000000001</v>
      </c>
      <c r="G75" s="286">
        <v>0.57299999999999995</v>
      </c>
      <c r="H75" s="286">
        <v>0.92079999999999995</v>
      </c>
      <c r="I75" s="286">
        <v>1.2230000000000001</v>
      </c>
      <c r="J75" s="286">
        <v>1.0096000000000001</v>
      </c>
      <c r="K75" s="286">
        <v>0.95809999999999995</v>
      </c>
      <c r="L75" s="286">
        <v>0.83160000000000001</v>
      </c>
      <c r="M75" s="286">
        <v>0.71809999999999996</v>
      </c>
    </row>
    <row r="76" spans="1:13" x14ac:dyDescent="0.25">
      <c r="A76" s="356"/>
      <c r="B76" s="300"/>
      <c r="C76" s="301"/>
      <c r="D76" s="302" t="s">
        <v>974</v>
      </c>
      <c r="E76" s="286">
        <v>1</v>
      </c>
      <c r="F76" s="286">
        <v>1</v>
      </c>
      <c r="G76" s="286">
        <v>0.6</v>
      </c>
      <c r="H76" s="286">
        <v>0.7</v>
      </c>
      <c r="I76" s="286">
        <v>0.75</v>
      </c>
      <c r="J76" s="286">
        <v>0.9</v>
      </c>
      <c r="K76" s="286">
        <v>0.95</v>
      </c>
      <c r="L76" s="286">
        <v>0.9</v>
      </c>
      <c r="M76" s="286">
        <v>0.95</v>
      </c>
    </row>
    <row r="77" spans="1:13" x14ac:dyDescent="0.25">
      <c r="A77" s="356"/>
      <c r="B77" s="300"/>
      <c r="C77" s="301"/>
      <c r="D77" s="302" t="s">
        <v>972</v>
      </c>
      <c r="E77" s="286">
        <v>0.34439999999999998</v>
      </c>
      <c r="F77" s="286">
        <v>0.34870000000000001</v>
      </c>
      <c r="G77" s="286">
        <v>0.3664</v>
      </c>
      <c r="H77" s="286">
        <v>0.41539999999999999</v>
      </c>
      <c r="I77" s="286">
        <v>0.48259999999999997</v>
      </c>
      <c r="J77" s="286">
        <v>0.50629999999999997</v>
      </c>
      <c r="K77" s="286">
        <v>0.50949999999999995</v>
      </c>
      <c r="L77" s="286">
        <v>0.6845</v>
      </c>
      <c r="M77" s="286">
        <v>0.69159999999999999</v>
      </c>
    </row>
    <row r="79" spans="1:13" x14ac:dyDescent="0.25">
      <c r="A79" s="339" t="s">
        <v>975</v>
      </c>
      <c r="B79" s="27"/>
      <c r="C79" s="27"/>
      <c r="D79" s="285" t="s">
        <v>43</v>
      </c>
      <c r="E79" s="170">
        <v>3.15E-2</v>
      </c>
      <c r="F79" s="170">
        <v>3.15E-2</v>
      </c>
      <c r="G79" s="170">
        <v>3.15E-2</v>
      </c>
      <c r="H79" s="170">
        <v>3.15E-2</v>
      </c>
      <c r="I79" s="170">
        <v>3.1399999999999997E-2</v>
      </c>
      <c r="J79" s="170">
        <v>3.1399999999999997E-2</v>
      </c>
      <c r="K79" s="170">
        <v>3.1399999999999997E-2</v>
      </c>
      <c r="L79" s="170">
        <v>3.1399999999999997E-2</v>
      </c>
      <c r="M79" s="170">
        <v>3.15E-2</v>
      </c>
    </row>
    <row r="80" spans="1:13" x14ac:dyDescent="0.25">
      <c r="A80" s="341"/>
      <c r="B80" s="27"/>
      <c r="C80" s="27"/>
      <c r="D80" s="285" t="s">
        <v>44</v>
      </c>
      <c r="E80" s="170">
        <v>0.96850000000000003</v>
      </c>
      <c r="F80" s="170">
        <v>0.96850000000000003</v>
      </c>
      <c r="G80" s="170">
        <v>0.96850000000000003</v>
      </c>
      <c r="H80" s="170">
        <v>0.96850000000000003</v>
      </c>
      <c r="I80" s="170">
        <v>0.96860000000000002</v>
      </c>
      <c r="J80" s="170">
        <v>0.96860000000000002</v>
      </c>
      <c r="K80" s="170">
        <v>0.96860000000000002</v>
      </c>
      <c r="L80" s="170">
        <v>0.96860000000000002</v>
      </c>
      <c r="M80" s="170">
        <v>0.96850000000000003</v>
      </c>
    </row>
    <row r="82" spans="1:13" x14ac:dyDescent="0.25">
      <c r="A82" s="339" t="s">
        <v>45</v>
      </c>
      <c r="B82" s="27"/>
      <c r="C82" s="27"/>
      <c r="D82" s="285" t="s">
        <v>46</v>
      </c>
      <c r="E82" s="30">
        <v>0.2228</v>
      </c>
      <c r="F82" s="30">
        <v>7.4899999999999994E-2</v>
      </c>
      <c r="G82" s="30">
        <v>5.1799999999999999E-2</v>
      </c>
      <c r="H82" s="30">
        <v>4.1500000000000002E-2</v>
      </c>
      <c r="I82" s="30">
        <v>3.4299999999999997E-2</v>
      </c>
      <c r="J82" s="30">
        <v>3.49E-2</v>
      </c>
      <c r="K82" s="30">
        <v>1.95E-2</v>
      </c>
      <c r="L82" s="30">
        <v>8.6999999999999994E-3</v>
      </c>
      <c r="M82" s="30">
        <v>6.8999999999999999E-3</v>
      </c>
    </row>
    <row r="83" spans="1:13" x14ac:dyDescent="0.25">
      <c r="A83" s="340"/>
      <c r="B83" s="27"/>
      <c r="C83" s="27"/>
      <c r="D83" s="285" t="s">
        <v>47</v>
      </c>
      <c r="E83" s="30">
        <v>6.6699999999999995E-2</v>
      </c>
      <c r="F83" s="30">
        <v>6.8699999999999997E-2</v>
      </c>
      <c r="G83" s="30">
        <v>7.1900000000000006E-2</v>
      </c>
      <c r="H83" s="30">
        <v>6.0400000000000002E-2</v>
      </c>
      <c r="I83" s="30">
        <v>6.3899999999999998E-2</v>
      </c>
      <c r="J83" s="30">
        <v>5.2600000000000001E-2</v>
      </c>
      <c r="K83" s="30">
        <v>3.44E-2</v>
      </c>
      <c r="L83" s="30">
        <v>2.0400000000000001E-2</v>
      </c>
      <c r="M83" s="30">
        <v>1.46E-2</v>
      </c>
    </row>
    <row r="84" spans="1:13" x14ac:dyDescent="0.25">
      <c r="A84" s="340"/>
      <c r="B84" s="27"/>
      <c r="C84" s="27"/>
      <c r="D84" s="285" t="s">
        <v>48</v>
      </c>
      <c r="E84" s="30">
        <v>0.13500000000000001</v>
      </c>
      <c r="F84" s="30">
        <v>0.1394</v>
      </c>
      <c r="G84" s="30">
        <v>0.17960000000000001</v>
      </c>
      <c r="H84" s="30">
        <v>0.21809999999999999</v>
      </c>
      <c r="I84" s="30">
        <v>0.2359</v>
      </c>
      <c r="J84" s="30">
        <v>0.16650000000000001</v>
      </c>
      <c r="K84" s="30">
        <v>0.1699</v>
      </c>
      <c r="L84" s="30">
        <v>0.14080000000000001</v>
      </c>
      <c r="M84" s="30">
        <v>0.13370000000000001</v>
      </c>
    </row>
    <row r="85" spans="1:13" x14ac:dyDescent="0.25">
      <c r="A85" s="341"/>
      <c r="B85" s="27"/>
      <c r="C85" s="27"/>
      <c r="D85" s="285" t="s">
        <v>49</v>
      </c>
      <c r="E85" s="30">
        <v>2.9600000000000001E-2</v>
      </c>
      <c r="F85" s="30">
        <v>3.09E-2</v>
      </c>
      <c r="G85" s="30">
        <v>2.46E-2</v>
      </c>
      <c r="H85" s="30">
        <v>1.7999999999999999E-2</v>
      </c>
      <c r="I85" s="30">
        <v>1.46E-2</v>
      </c>
      <c r="J85" s="30">
        <v>1.1299999999999999E-2</v>
      </c>
      <c r="K85" s="30">
        <v>1.3100000000000001E-2</v>
      </c>
      <c r="L85" s="30">
        <v>1.0200000000000001E-2</v>
      </c>
      <c r="M85" s="30">
        <v>9.7000000000000003E-3</v>
      </c>
    </row>
  </sheetData>
  <mergeCells count="54">
    <mergeCell ref="B72:D72"/>
    <mergeCell ref="B73:D73"/>
    <mergeCell ref="A67:A73"/>
    <mergeCell ref="A75:A77"/>
    <mergeCell ref="A82:A85"/>
    <mergeCell ref="A79:A80"/>
    <mergeCell ref="B67:D67"/>
    <mergeCell ref="B68:D68"/>
    <mergeCell ref="B69:D69"/>
    <mergeCell ref="B70:D70"/>
    <mergeCell ref="B71:D71"/>
    <mergeCell ref="A59:A64"/>
    <mergeCell ref="B59:D59"/>
    <mergeCell ref="B60:D60"/>
    <mergeCell ref="B61:D61"/>
    <mergeCell ref="B62:D62"/>
    <mergeCell ref="B63:D63"/>
    <mergeCell ref="B64:D64"/>
    <mergeCell ref="A53:A58"/>
    <mergeCell ref="B53:D53"/>
    <mergeCell ref="B54:D54"/>
    <mergeCell ref="B55:D55"/>
    <mergeCell ref="B56:D56"/>
    <mergeCell ref="B57:D57"/>
    <mergeCell ref="B58:D58"/>
    <mergeCell ref="B46:D46"/>
    <mergeCell ref="A41:A46"/>
    <mergeCell ref="A47:A52"/>
    <mergeCell ref="B47:D47"/>
    <mergeCell ref="B48:D48"/>
    <mergeCell ref="B49:D49"/>
    <mergeCell ref="B50:D50"/>
    <mergeCell ref="B51:D51"/>
    <mergeCell ref="B52:D52"/>
    <mergeCell ref="B42:D42"/>
    <mergeCell ref="B43:D43"/>
    <mergeCell ref="B44:D44"/>
    <mergeCell ref="B45:D45"/>
    <mergeCell ref="A33:L33"/>
    <mergeCell ref="A34:L34"/>
    <mergeCell ref="A35:L35"/>
    <mergeCell ref="A36:L36"/>
    <mergeCell ref="B41:D41"/>
    <mergeCell ref="E1:L1"/>
    <mergeCell ref="A3:A7"/>
    <mergeCell ref="A8:A11"/>
    <mergeCell ref="A12:A31"/>
    <mergeCell ref="M1:T1"/>
    <mergeCell ref="D8:D31"/>
    <mergeCell ref="P41:Q41"/>
    <mergeCell ref="P42:Q42"/>
    <mergeCell ref="P43:Q43"/>
    <mergeCell ref="A37:L37"/>
    <mergeCell ref="A38:L38"/>
  </mergeCells>
  <pageMargins left="0.7" right="0.7" top="0.78740157499999996" bottom="0.78740157499999996" header="0.3" footer="0.3"/>
  <pageSetup paperSize="9" orientation="landscape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_Projektplanung">
    <tabColor rgb="FF002060"/>
  </sheetPr>
  <dimension ref="A1:Z110"/>
  <sheetViews>
    <sheetView topLeftCell="A7" zoomScale="70" zoomScaleNormal="70" zoomScalePageLayoutView="70" workbookViewId="0">
      <selection activeCell="K55" sqref="K55"/>
    </sheetView>
  </sheetViews>
  <sheetFormatPr baseColWidth="10" defaultColWidth="10.85546875" defaultRowHeight="15" x14ac:dyDescent="0.25"/>
  <cols>
    <col min="1" max="2" width="1.42578125" style="28" customWidth="1"/>
    <col min="3" max="7" width="10.85546875" style="28"/>
    <col min="8" max="8" width="1.42578125" style="28" customWidth="1"/>
    <col min="9" max="9" width="24.140625" style="28" bestFit="1" customWidth="1"/>
    <col min="10" max="10" width="15" style="76" bestFit="1" customWidth="1"/>
    <col min="11" max="11" width="16.42578125" style="28" bestFit="1" customWidth="1"/>
    <col min="12" max="12" width="14.28515625" style="28" customWidth="1"/>
    <col min="13" max="13" width="1.42578125" style="28" customWidth="1"/>
    <col min="14" max="14" width="2.7109375" style="28" customWidth="1"/>
    <col min="15" max="15" width="1.42578125" style="28" customWidth="1"/>
    <col min="16" max="16" width="36" style="28" bestFit="1" customWidth="1"/>
    <col min="17" max="23" width="10.7109375" style="28" customWidth="1"/>
    <col min="24" max="24" width="1.42578125" style="28" customWidth="1"/>
    <col min="25" max="16384" width="10.85546875" style="28"/>
  </cols>
  <sheetData>
    <row r="1" spans="1:26" ht="7.5" customHeight="1" thickBot="1" x14ac:dyDescent="0.3">
      <c r="J1" s="28"/>
    </row>
    <row r="2" spans="1:26" ht="37.5" customHeight="1" thickBot="1" x14ac:dyDescent="0.3">
      <c r="B2" s="396" t="s">
        <v>458</v>
      </c>
      <c r="C2" s="397"/>
      <c r="D2" s="397"/>
      <c r="E2" s="397"/>
      <c r="F2" s="397"/>
      <c r="G2" s="397"/>
      <c r="H2" s="397"/>
      <c r="I2" s="397"/>
      <c r="J2" s="397"/>
      <c r="K2" s="397"/>
      <c r="L2" s="397"/>
      <c r="M2" s="397"/>
      <c r="N2" s="397"/>
      <c r="O2" s="397"/>
      <c r="P2" s="397"/>
      <c r="Q2" s="397"/>
      <c r="R2" s="397"/>
      <c r="S2" s="397"/>
      <c r="T2" s="397"/>
      <c r="U2" s="397"/>
      <c r="V2" s="397"/>
      <c r="W2" s="397"/>
      <c r="X2" s="398"/>
    </row>
    <row r="3" spans="1:26" ht="7.5" customHeight="1" thickBot="1" x14ac:dyDescent="0.3">
      <c r="J3" s="28"/>
    </row>
    <row r="4" spans="1:26" ht="15" customHeight="1" x14ac:dyDescent="0.25">
      <c r="B4" s="77"/>
      <c r="C4" s="358" t="s">
        <v>455</v>
      </c>
      <c r="D4" s="358"/>
      <c r="E4" s="358"/>
      <c r="F4" s="358"/>
      <c r="G4" s="358"/>
      <c r="H4" s="358"/>
      <c r="I4" s="358"/>
      <c r="J4" s="358"/>
      <c r="K4" s="358"/>
      <c r="L4" s="358"/>
      <c r="M4" s="78"/>
      <c r="O4" s="360" t="s">
        <v>482</v>
      </c>
      <c r="P4" s="358"/>
      <c r="Q4" s="358"/>
      <c r="R4" s="358"/>
      <c r="S4" s="358"/>
      <c r="T4" s="358"/>
      <c r="U4" s="358"/>
      <c r="V4" s="358"/>
      <c r="W4" s="358"/>
      <c r="X4" s="361"/>
    </row>
    <row r="5" spans="1:26" ht="7.5" customHeight="1" thickBot="1" x14ac:dyDescent="0.3">
      <c r="B5" s="79"/>
      <c r="C5" s="80"/>
      <c r="D5" s="80"/>
      <c r="E5" s="80"/>
      <c r="F5" s="80"/>
      <c r="G5" s="80"/>
      <c r="H5" s="80"/>
      <c r="I5" s="80"/>
      <c r="J5" s="80"/>
      <c r="K5" s="80"/>
      <c r="L5" s="80"/>
      <c r="M5" s="81"/>
      <c r="O5" s="79"/>
      <c r="P5" s="80"/>
      <c r="Q5" s="80"/>
      <c r="R5" s="80"/>
      <c r="S5" s="80"/>
      <c r="T5" s="80"/>
      <c r="U5" s="80"/>
      <c r="V5" s="80"/>
      <c r="W5" s="80"/>
      <c r="X5" s="81"/>
    </row>
    <row r="6" spans="1:26" x14ac:dyDescent="0.25">
      <c r="B6" s="79"/>
      <c r="C6" s="399" t="s">
        <v>451</v>
      </c>
      <c r="D6" s="400"/>
      <c r="E6" s="400"/>
      <c r="F6" s="400"/>
      <c r="G6" s="401"/>
      <c r="H6" s="80"/>
      <c r="I6" s="203" t="s">
        <v>123</v>
      </c>
      <c r="J6" s="204" t="s">
        <v>452</v>
      </c>
      <c r="K6" s="204" t="s">
        <v>448</v>
      </c>
      <c r="L6" s="186" t="s">
        <v>453</v>
      </c>
      <c r="M6" s="81"/>
      <c r="O6" s="79"/>
      <c r="P6" s="203"/>
      <c r="Q6" s="204" t="s">
        <v>473</v>
      </c>
      <c r="R6" s="204" t="s">
        <v>474</v>
      </c>
      <c r="S6" s="205" t="s">
        <v>475</v>
      </c>
      <c r="T6" s="186" t="s">
        <v>479</v>
      </c>
      <c r="U6" s="112"/>
      <c r="V6" s="112"/>
      <c r="W6" s="112"/>
      <c r="X6" s="81"/>
    </row>
    <row r="7" spans="1:26" ht="15.75" thickBot="1" x14ac:dyDescent="0.3">
      <c r="B7" s="79"/>
      <c r="C7" s="196"/>
      <c r="D7" s="197" t="s">
        <v>399</v>
      </c>
      <c r="E7" s="197" t="s">
        <v>400</v>
      </c>
      <c r="F7" s="197" t="s">
        <v>401</v>
      </c>
      <c r="G7" s="198" t="s">
        <v>402</v>
      </c>
      <c r="H7" s="80"/>
      <c r="I7" s="196" t="s">
        <v>411</v>
      </c>
      <c r="J7" s="144"/>
      <c r="K7" s="193">
        <f>SUMIFS(Projekte!4:4,Projekte!8:8,"geplant")</f>
        <v>0</v>
      </c>
      <c r="L7" s="194">
        <f t="shared" ref="L7" si="0">J7-K7</f>
        <v>0</v>
      </c>
      <c r="M7" s="81"/>
      <c r="O7" s="79"/>
      <c r="P7" s="201" t="s">
        <v>459</v>
      </c>
      <c r="Q7" s="120">
        <f>'Resource Management'!L8/4000</f>
        <v>29.087587500000001</v>
      </c>
      <c r="R7" s="120">
        <f>'Resource Management'!L11</f>
        <v>155</v>
      </c>
      <c r="S7" s="185">
        <f>R7/Q7</f>
        <v>5.3287334331181642</v>
      </c>
      <c r="T7" s="187">
        <f>'Balanced Score Card'!E40</f>
        <v>0.71809999999999996</v>
      </c>
      <c r="U7" s="80"/>
      <c r="V7" s="80"/>
      <c r="W7" s="80"/>
      <c r="X7" s="81"/>
    </row>
    <row r="8" spans="1:26" s="42" customFormat="1" ht="15.75" thickBot="1" x14ac:dyDescent="0.3">
      <c r="A8" s="156"/>
      <c r="B8" s="195"/>
      <c r="C8" s="199" t="s">
        <v>403</v>
      </c>
      <c r="D8" s="72">
        <f>SUMIFS(Projekte!33:33,Projekte!$8:$8,"erledigt")</f>
        <v>18</v>
      </c>
      <c r="E8" s="72">
        <f>SUMIFS(Projekte!34:34,Projekte!$8:$8,"erledigt")</f>
        <v>6</v>
      </c>
      <c r="F8" s="72">
        <f>SUMIFS(Projekte!35:35,Projekte!$8:$8,"erledigt")</f>
        <v>7</v>
      </c>
      <c r="G8" s="73">
        <f>SUMIFS(Projekte!36:36,Projekte!$8:$8,"erledigt")</f>
        <v>8</v>
      </c>
      <c r="H8" s="80"/>
      <c r="I8" s="199" t="s">
        <v>383</v>
      </c>
      <c r="J8" s="132">
        <f>'Resource Management'!L46</f>
        <v>469.62</v>
      </c>
      <c r="K8" s="134">
        <f>SUMIFS(Projekte!15:15,Projekte!$8:$8,"geplant")</f>
        <v>0</v>
      </c>
      <c r="L8" s="136">
        <f>J8-K8</f>
        <v>469.62</v>
      </c>
      <c r="M8" s="81"/>
      <c r="O8" s="79"/>
      <c r="P8" s="80"/>
      <c r="Q8" s="80"/>
      <c r="R8" s="80"/>
      <c r="S8" s="80"/>
      <c r="T8" s="80"/>
      <c r="U8" s="80"/>
      <c r="V8" s="80"/>
      <c r="W8" s="80"/>
      <c r="X8" s="81"/>
    </row>
    <row r="9" spans="1:26" x14ac:dyDescent="0.25">
      <c r="B9" s="79"/>
      <c r="C9" s="200" t="s">
        <v>404</v>
      </c>
      <c r="D9" s="145">
        <f>SUMIFS(Projekte!37:37,Projekte!$8:$8,"erledigt")</f>
        <v>46</v>
      </c>
      <c r="E9" s="145">
        <f>SUMIFS(Projekte!38:38,Projekte!$8:$8,"erledigt")</f>
        <v>36</v>
      </c>
      <c r="F9" s="145">
        <f>SUMIFS(Projekte!39:39,Projekte!$8:$8,"erledigt")</f>
        <v>36</v>
      </c>
      <c r="G9" s="146">
        <f>SUMIFS(Projekte!40:40,Projekte!$8:$8,"erledigt")</f>
        <v>9</v>
      </c>
      <c r="H9" s="80"/>
      <c r="I9" s="200" t="s">
        <v>384</v>
      </c>
      <c r="J9" s="147">
        <f>'Resource Management'!L47</f>
        <v>414.6</v>
      </c>
      <c r="K9" s="148">
        <f>SUMIFS(Projekte!16:16,Projekte!$8:$8,"geplant")</f>
        <v>0</v>
      </c>
      <c r="L9" s="149">
        <f t="shared" ref="L9:L23" si="1">J9-K9</f>
        <v>414.6</v>
      </c>
      <c r="M9" s="81"/>
      <c r="O9" s="79"/>
      <c r="P9" s="203"/>
      <c r="Q9" s="204" t="s">
        <v>265</v>
      </c>
      <c r="R9" s="204" t="s">
        <v>468</v>
      </c>
      <c r="S9" s="204" t="s">
        <v>469</v>
      </c>
      <c r="T9" s="204" t="s">
        <v>470</v>
      </c>
      <c r="U9" s="204" t="s">
        <v>471</v>
      </c>
      <c r="V9" s="204" t="s">
        <v>484</v>
      </c>
      <c r="W9" s="186" t="s">
        <v>485</v>
      </c>
      <c r="X9" s="81"/>
    </row>
    <row r="10" spans="1:26" x14ac:dyDescent="0.25">
      <c r="B10" s="79"/>
      <c r="C10" s="199" t="s">
        <v>405</v>
      </c>
      <c r="D10" s="72">
        <f>SUMIFS(Projekte!41:41,Projekte!$8:$8,"erledigt")</f>
        <v>37</v>
      </c>
      <c r="E10" s="72">
        <f>SUMIFS(Projekte!42:42,Projekte!$8:$8,"erledigt")</f>
        <v>17</v>
      </c>
      <c r="F10" s="72">
        <f>SUMIFS(Projekte!43:43,Projekte!$8:$8,"erledigt")</f>
        <v>15</v>
      </c>
      <c r="G10" s="73">
        <f>SUMIFS(Projekte!44:44,Projekte!$8:$8,"erledigt")</f>
        <v>8</v>
      </c>
      <c r="H10" s="80"/>
      <c r="I10" s="199" t="s">
        <v>385</v>
      </c>
      <c r="J10" s="132">
        <f>'Resource Management'!L3</f>
        <v>0</v>
      </c>
      <c r="K10" s="134">
        <f>SUMIFS(Projekte!17:17,Projekte!$8:$8,"geplant")</f>
        <v>0</v>
      </c>
      <c r="L10" s="136">
        <f t="shared" si="1"/>
        <v>0</v>
      </c>
      <c r="M10" s="81"/>
      <c r="O10" s="79"/>
      <c r="P10" s="199" t="s">
        <v>460</v>
      </c>
      <c r="Q10" s="109">
        <f>'Resource Management'!L12</f>
        <v>469.22</v>
      </c>
      <c r="R10" s="109">
        <f>'Resource Management'!L22</f>
        <v>2378.25</v>
      </c>
      <c r="S10" s="109">
        <f>R10/Q10</f>
        <v>5.0685179659861044</v>
      </c>
      <c r="T10" s="110">
        <f>'Resource Management'!L46+'Resource Management'!L56</f>
        <v>469.62</v>
      </c>
      <c r="U10" s="109">
        <f>T10/Q10</f>
        <v>1.0008524785814756</v>
      </c>
      <c r="V10" s="109">
        <f>IF(T10-Q10&gt;0,T10-Q10+1,"")</f>
        <v>1.3999999999999773</v>
      </c>
      <c r="W10" s="121" t="str">
        <f>IF(T10*5-R10&gt;0,T10*5-R10+5,"")</f>
        <v/>
      </c>
      <c r="X10" s="81"/>
      <c r="Y10" s="251"/>
      <c r="Z10" s="251"/>
    </row>
    <row r="11" spans="1:26" ht="15.75" thickBot="1" x14ac:dyDescent="0.3">
      <c r="B11" s="79"/>
      <c r="C11" s="201" t="s">
        <v>406</v>
      </c>
      <c r="D11" s="74">
        <f>SUMIFS(Projekte!45:45,Projekte!$8:$8,"erledigt")</f>
        <v>27</v>
      </c>
      <c r="E11" s="74">
        <f>SUMIFS(Projekte!46:46,Projekte!$8:$8,"erledigt")</f>
        <v>16</v>
      </c>
      <c r="F11" s="74">
        <f>SUMIFS(Projekte!47:47,Projekte!$8:$8,"erledigt")</f>
        <v>17</v>
      </c>
      <c r="G11" s="75">
        <f>SUMIFS(Projekte!48:48,Projekte!$8:$8,"erledigt")</f>
        <v>5</v>
      </c>
      <c r="H11" s="80"/>
      <c r="I11" s="199" t="s">
        <v>386</v>
      </c>
      <c r="J11" s="132">
        <f>'Resource Management'!L49</f>
        <v>43.32</v>
      </c>
      <c r="K11" s="134">
        <f>SUMIFS(Projekte!18:18,Projekte!$8:$8,"geplant")</f>
        <v>0</v>
      </c>
      <c r="L11" s="136">
        <f t="shared" si="1"/>
        <v>43.32</v>
      </c>
      <c r="M11" s="81"/>
      <c r="O11" s="79"/>
      <c r="P11" s="199" t="s">
        <v>461</v>
      </c>
      <c r="Q11" s="109">
        <f>'Resource Management'!L13</f>
        <v>418.55</v>
      </c>
      <c r="R11" s="109">
        <f>'Resource Management'!L23</f>
        <v>2123</v>
      </c>
      <c r="S11" s="109">
        <f t="shared" ref="S11:S19" si="2">R11/Q11</f>
        <v>5.0722733245729303</v>
      </c>
      <c r="T11" s="110">
        <f>'Resource Management'!L47+'Resource Management'!L58</f>
        <v>414.6</v>
      </c>
      <c r="U11" s="109">
        <f t="shared" ref="U11:U19" si="3">T11/Q11</f>
        <v>0.99056265679130329</v>
      </c>
      <c r="V11" s="109" t="str">
        <f t="shared" ref="V11:V19" si="4">IF(T11-Q11&gt;0,T11-Q11+1,"")</f>
        <v/>
      </c>
      <c r="W11" s="121" t="str">
        <f t="shared" ref="W11:W19" si="5">IF(T11*5-R11&gt;0,T11*5-R11+5,"")</f>
        <v/>
      </c>
      <c r="X11" s="81"/>
    </row>
    <row r="12" spans="1:26" ht="15.75" thickBot="1" x14ac:dyDescent="0.3">
      <c r="B12" s="79"/>
      <c r="C12" s="80"/>
      <c r="D12" s="80"/>
      <c r="E12" s="80"/>
      <c r="F12" s="80"/>
      <c r="G12" s="80"/>
      <c r="H12" s="80"/>
      <c r="I12" s="199" t="s">
        <v>387</v>
      </c>
      <c r="J12" s="132">
        <f>'Resource Management'!L50</f>
        <v>241.13</v>
      </c>
      <c r="K12" s="134">
        <f>SUMIFS(Projekte!19:19,Projekte!$8:$8,"geplant")</f>
        <v>0</v>
      </c>
      <c r="L12" s="136">
        <f t="shared" si="1"/>
        <v>241.13</v>
      </c>
      <c r="M12" s="81"/>
      <c r="O12" s="79"/>
      <c r="P12" s="199" t="s">
        <v>462</v>
      </c>
      <c r="Q12" s="109">
        <f>'Resource Management'!L14</f>
        <v>190.31</v>
      </c>
      <c r="R12" s="109">
        <f>'Resource Management'!L24</f>
        <v>1019.75</v>
      </c>
      <c r="S12" s="109">
        <f t="shared" si="2"/>
        <v>5.3583626714308235</v>
      </c>
      <c r="T12" s="110">
        <f>'Resource Management'!L48+'Resource Management'!L57+SUM('Resource Management'!L3:L7)</f>
        <v>89.25</v>
      </c>
      <c r="U12" s="109">
        <f t="shared" si="3"/>
        <v>0.46897167778887078</v>
      </c>
      <c r="V12" s="109" t="str">
        <f t="shared" si="4"/>
        <v/>
      </c>
      <c r="W12" s="121" t="str">
        <f t="shared" si="5"/>
        <v/>
      </c>
      <c r="X12" s="81"/>
    </row>
    <row r="13" spans="1:26" x14ac:dyDescent="0.25">
      <c r="B13" s="79"/>
      <c r="C13" s="399" t="s">
        <v>450</v>
      </c>
      <c r="D13" s="400"/>
      <c r="E13" s="400"/>
      <c r="F13" s="400"/>
      <c r="G13" s="401"/>
      <c r="H13" s="80"/>
      <c r="I13" s="199" t="s">
        <v>388</v>
      </c>
      <c r="J13" s="132">
        <f>'Resource Management'!L51</f>
        <v>208.12</v>
      </c>
      <c r="K13" s="134">
        <f>SUMIFS(Projekte!20:20,Projekte!$8:$8,"geplant")</f>
        <v>0</v>
      </c>
      <c r="L13" s="136">
        <f t="shared" si="1"/>
        <v>208.12</v>
      </c>
      <c r="M13" s="81"/>
      <c r="O13" s="79"/>
      <c r="P13" s="199" t="s">
        <v>404</v>
      </c>
      <c r="Q13" s="109">
        <f>'Resource Management'!L15</f>
        <v>90.85</v>
      </c>
      <c r="R13" s="109">
        <f>'Resource Management'!L25</f>
        <v>473.4</v>
      </c>
      <c r="S13" s="109">
        <f t="shared" si="2"/>
        <v>5.2107870115575121</v>
      </c>
      <c r="T13" s="110">
        <f>'Resource Management'!L49</f>
        <v>43.32</v>
      </c>
      <c r="U13" s="109">
        <f t="shared" si="3"/>
        <v>0.47682993946064944</v>
      </c>
      <c r="V13" s="109" t="str">
        <f t="shared" si="4"/>
        <v/>
      </c>
      <c r="W13" s="121" t="str">
        <f t="shared" si="5"/>
        <v/>
      </c>
      <c r="X13" s="81"/>
    </row>
    <row r="14" spans="1:26" x14ac:dyDescent="0.25">
      <c r="B14" s="79"/>
      <c r="C14" s="199"/>
      <c r="D14" s="181" t="s">
        <v>399</v>
      </c>
      <c r="E14" s="181" t="s">
        <v>400</v>
      </c>
      <c r="F14" s="181" t="s">
        <v>401</v>
      </c>
      <c r="G14" s="202" t="s">
        <v>402</v>
      </c>
      <c r="H14" s="80"/>
      <c r="I14" s="199" t="s">
        <v>389</v>
      </c>
      <c r="J14" s="132">
        <f>'Resource Management'!L52</f>
        <v>468.29</v>
      </c>
      <c r="K14" s="134">
        <f>SUMIFS(Projekte!21:21,Projekte!$8:$8,"geplant")</f>
        <v>0</v>
      </c>
      <c r="L14" s="136">
        <f t="shared" si="1"/>
        <v>468.29</v>
      </c>
      <c r="M14" s="81"/>
      <c r="O14" s="79"/>
      <c r="P14" s="199" t="s">
        <v>463</v>
      </c>
      <c r="Q14" s="109">
        <f>'Resource Management'!L16</f>
        <v>322.08</v>
      </c>
      <c r="R14" s="109">
        <f>'Resource Management'!L26</f>
        <v>1706</v>
      </c>
      <c r="S14" s="109">
        <f t="shared" si="2"/>
        <v>5.2968206656731249</v>
      </c>
      <c r="T14" s="110">
        <f>'Resource Management'!L50</f>
        <v>241.13</v>
      </c>
      <c r="U14" s="109">
        <f t="shared" si="3"/>
        <v>0.74866492796820672</v>
      </c>
      <c r="V14" s="109" t="str">
        <f t="shared" si="4"/>
        <v/>
      </c>
      <c r="W14" s="121" t="str">
        <f t="shared" si="5"/>
        <v/>
      </c>
      <c r="X14" s="81"/>
      <c r="Y14" s="251"/>
    </row>
    <row r="15" spans="1:26" x14ac:dyDescent="0.25">
      <c r="B15" s="79"/>
      <c r="C15" s="199" t="s">
        <v>403</v>
      </c>
      <c r="D15" s="72">
        <f>SUMIFS(Projekte!33:33,Projekte!$8:$8,"geplant")</f>
        <v>0</v>
      </c>
      <c r="E15" s="72">
        <f>SUMIFS(Projekte!34:34,Projekte!$8:$8,"geplant")</f>
        <v>0</v>
      </c>
      <c r="F15" s="72">
        <f>SUMIFS(Projekte!35:35,Projekte!$8:$8,"geplant")</f>
        <v>0</v>
      </c>
      <c r="G15" s="73">
        <f>SUMIFS(Projekte!36:36,Projekte!$8:$8,"geplant")</f>
        <v>0</v>
      </c>
      <c r="H15" s="80"/>
      <c r="I15" s="199" t="s">
        <v>390</v>
      </c>
      <c r="J15" s="132">
        <f>'Resource Management'!L53</f>
        <v>1463.15</v>
      </c>
      <c r="K15" s="134">
        <f>SUMIFS(Projekte!22:22,Projekte!$8:$8,"geplant")</f>
        <v>0</v>
      </c>
      <c r="L15" s="136">
        <f t="shared" si="1"/>
        <v>1463.15</v>
      </c>
      <c r="M15" s="81"/>
      <c r="O15" s="79"/>
      <c r="P15" s="199" t="s">
        <v>464</v>
      </c>
      <c r="Q15" s="109">
        <f>'Resource Management'!L17</f>
        <v>259.39</v>
      </c>
      <c r="R15" s="109">
        <f>'Resource Management'!L27</f>
        <v>1384.95</v>
      </c>
      <c r="S15" s="109">
        <f t="shared" si="2"/>
        <v>5.3392574887235442</v>
      </c>
      <c r="T15" s="110">
        <f>'Resource Management'!L51</f>
        <v>208.12</v>
      </c>
      <c r="U15" s="109">
        <f t="shared" si="3"/>
        <v>0.80234396083118087</v>
      </c>
      <c r="V15" s="109" t="str">
        <f t="shared" si="4"/>
        <v/>
      </c>
      <c r="W15" s="121" t="str">
        <f t="shared" si="5"/>
        <v/>
      </c>
      <c r="X15" s="81"/>
      <c r="Y15" s="251"/>
    </row>
    <row r="16" spans="1:26" x14ac:dyDescent="0.25">
      <c r="B16" s="79"/>
      <c r="C16" s="199" t="s">
        <v>404</v>
      </c>
      <c r="D16" s="72">
        <f>SUMIFS(Projekte!37:37,Projekte!$8:$8,"geplant")</f>
        <v>0</v>
      </c>
      <c r="E16" s="72">
        <f>SUMIFS(Projekte!38:38,Projekte!$8:$8,"geplant")</f>
        <v>0</v>
      </c>
      <c r="F16" s="72">
        <f>SUMIFS(Projekte!39:39,Projekte!$8:$8,"geplant")</f>
        <v>0</v>
      </c>
      <c r="G16" s="73">
        <f>SUMIFS(Projekte!40:40,Projekte!$8:$8,"geplant")</f>
        <v>0</v>
      </c>
      <c r="H16" s="80"/>
      <c r="I16" s="199" t="s">
        <v>391</v>
      </c>
      <c r="J16" s="132">
        <f>'Resource Management'!L54</f>
        <v>1243.83</v>
      </c>
      <c r="K16" s="134">
        <f>SUMIFS(Projekte!23:23,Projekte!$8:$8,"geplant")</f>
        <v>0</v>
      </c>
      <c r="L16" s="136">
        <f t="shared" si="1"/>
        <v>1243.83</v>
      </c>
      <c r="M16" s="81"/>
      <c r="O16" s="79"/>
      <c r="P16" s="199" t="s">
        <v>465</v>
      </c>
      <c r="Q16" s="109">
        <f>'Resource Management'!L18</f>
        <v>467.91</v>
      </c>
      <c r="R16" s="109">
        <f>'Resource Management'!L28</f>
        <v>2379.1999999999998</v>
      </c>
      <c r="S16" s="109">
        <f t="shared" si="2"/>
        <v>5.0847385180910853</v>
      </c>
      <c r="T16" s="110">
        <f>'Resource Management'!L52</f>
        <v>468.29</v>
      </c>
      <c r="U16" s="109">
        <f t="shared" si="3"/>
        <v>1.0008121219892714</v>
      </c>
      <c r="V16" s="109">
        <f t="shared" si="4"/>
        <v>1.3799999999999955</v>
      </c>
      <c r="W16" s="121" t="str">
        <f t="shared" si="5"/>
        <v/>
      </c>
      <c r="X16" s="81"/>
    </row>
    <row r="17" spans="2:25" x14ac:dyDescent="0.25">
      <c r="B17" s="79"/>
      <c r="C17" s="199" t="s">
        <v>405</v>
      </c>
      <c r="D17" s="72">
        <f>SUMIFS(Projekte!41:41,Projekte!$8:$8,"geplant")</f>
        <v>0</v>
      </c>
      <c r="E17" s="72">
        <f>SUMIFS(Projekte!42:42,Projekte!$8:$8,"geplant")</f>
        <v>0</v>
      </c>
      <c r="F17" s="72">
        <f>SUMIFS(Projekte!43:43,Projekte!$8:$8,"geplant")</f>
        <v>0</v>
      </c>
      <c r="G17" s="73">
        <f>SUMIFS(Projekte!44:44,Projekte!$8:$8,"geplant")</f>
        <v>0</v>
      </c>
      <c r="H17" s="80"/>
      <c r="I17" s="199" t="s">
        <v>392</v>
      </c>
      <c r="J17" s="132">
        <f>'Resource Management'!L55</f>
        <v>271.66000000000003</v>
      </c>
      <c r="K17" s="134">
        <f>SUMIFS(Projekte!24:24,Projekte!$8:$8,"geplant")</f>
        <v>0</v>
      </c>
      <c r="L17" s="136">
        <f t="shared" si="1"/>
        <v>271.66000000000003</v>
      </c>
      <c r="M17" s="81"/>
      <c r="O17" s="79"/>
      <c r="P17" s="199" t="s">
        <v>466</v>
      </c>
      <c r="Q17" s="109">
        <f>'Resource Management'!L19</f>
        <v>1463.18</v>
      </c>
      <c r="R17" s="109">
        <f>'Resource Management'!L29</f>
        <v>7374.15</v>
      </c>
      <c r="S17" s="109">
        <f t="shared" si="2"/>
        <v>5.0398105496247894</v>
      </c>
      <c r="T17" s="110">
        <f>'Resource Management'!L53</f>
        <v>1463.15</v>
      </c>
      <c r="U17" s="109">
        <f t="shared" si="3"/>
        <v>0.99997949671263964</v>
      </c>
      <c r="V17" s="109" t="str">
        <f t="shared" si="4"/>
        <v/>
      </c>
      <c r="W17" s="121" t="str">
        <f t="shared" si="5"/>
        <v/>
      </c>
      <c r="X17" s="81"/>
    </row>
    <row r="18" spans="2:25" ht="15.75" thickBot="1" x14ac:dyDescent="0.3">
      <c r="B18" s="79"/>
      <c r="C18" s="201" t="s">
        <v>406</v>
      </c>
      <c r="D18" s="74">
        <f>SUMIFS(Projekte!45:45,Projekte!$8:$8,"geplant")</f>
        <v>0</v>
      </c>
      <c r="E18" s="74">
        <f>SUMIFS(Projekte!46:46,Projekte!$8:$8,"geplant")</f>
        <v>0</v>
      </c>
      <c r="F18" s="74">
        <f>SUMIFS(Projekte!47:47,Projekte!$8:$8,"geplant")</f>
        <v>0</v>
      </c>
      <c r="G18" s="75">
        <f>SUMIFS(Projekte!48:48,Projekte!$8:$8,"geplant")</f>
        <v>0</v>
      </c>
      <c r="H18" s="80"/>
      <c r="I18" s="199" t="s">
        <v>393</v>
      </c>
      <c r="J18" s="132">
        <f>'Resource Management'!L56</f>
        <v>0</v>
      </c>
      <c r="K18" s="134">
        <f>SUMIFS(Projekte!25:25,Projekte!$8:$8,"geplant")</f>
        <v>0</v>
      </c>
      <c r="L18" s="136">
        <f t="shared" si="1"/>
        <v>0</v>
      </c>
      <c r="M18" s="81"/>
      <c r="O18" s="79"/>
      <c r="P18" s="199" t="s">
        <v>467</v>
      </c>
      <c r="Q18" s="109">
        <f>'Resource Management'!L20</f>
        <v>1243.58</v>
      </c>
      <c r="R18" s="109">
        <f>'Resource Management'!L30</f>
        <v>6267.8</v>
      </c>
      <c r="S18" s="109">
        <f t="shared" si="2"/>
        <v>5.0401260875858416</v>
      </c>
      <c r="T18" s="110">
        <f>'Resource Management'!L54</f>
        <v>1243.83</v>
      </c>
      <c r="U18" s="109">
        <f t="shared" si="3"/>
        <v>1.0002010325029351</v>
      </c>
      <c r="V18" s="109">
        <f t="shared" si="4"/>
        <v>1.25</v>
      </c>
      <c r="W18" s="121" t="str">
        <f t="shared" si="5"/>
        <v/>
      </c>
      <c r="X18" s="81"/>
    </row>
    <row r="19" spans="2:25" ht="15.75" thickBot="1" x14ac:dyDescent="0.3">
      <c r="B19" s="79"/>
      <c r="C19" s="80"/>
      <c r="D19" s="80"/>
      <c r="E19" s="80"/>
      <c r="F19" s="80"/>
      <c r="G19" s="80"/>
      <c r="H19" s="80"/>
      <c r="I19" s="199" t="s">
        <v>394</v>
      </c>
      <c r="J19" s="132">
        <f>'Resource Management'!L57</f>
        <v>0</v>
      </c>
      <c r="K19" s="134">
        <f>SUMIFS(Projekte!26:26,Projekte!$8:$8,"geplant")</f>
        <v>0</v>
      </c>
      <c r="L19" s="136">
        <f t="shared" si="1"/>
        <v>0</v>
      </c>
      <c r="M19" s="81"/>
      <c r="O19" s="79"/>
      <c r="P19" s="201" t="s">
        <v>472</v>
      </c>
      <c r="Q19" s="120">
        <f>'Resource Management'!L21</f>
        <v>271.26</v>
      </c>
      <c r="R19" s="120">
        <f>'Resource Management'!L31</f>
        <v>1384.95</v>
      </c>
      <c r="S19" s="120">
        <f t="shared" si="2"/>
        <v>5.1056182260561824</v>
      </c>
      <c r="T19" s="122">
        <f>'Resource Management'!L55</f>
        <v>271.66000000000003</v>
      </c>
      <c r="U19" s="120">
        <f t="shared" si="3"/>
        <v>1.0014746000147461</v>
      </c>
      <c r="V19" s="120">
        <f t="shared" si="4"/>
        <v>1.4000000000000341</v>
      </c>
      <c r="W19" s="123" t="str">
        <f t="shared" si="5"/>
        <v/>
      </c>
      <c r="X19" s="81"/>
    </row>
    <row r="20" spans="2:25" ht="15.75" thickBot="1" x14ac:dyDescent="0.3">
      <c r="B20" s="79"/>
      <c r="C20" s="399" t="s">
        <v>449</v>
      </c>
      <c r="D20" s="400"/>
      <c r="E20" s="400"/>
      <c r="F20" s="400"/>
      <c r="G20" s="401"/>
      <c r="H20" s="80"/>
      <c r="I20" s="199" t="s">
        <v>395</v>
      </c>
      <c r="J20" s="132">
        <f>'Resource Management'!L58</f>
        <v>0</v>
      </c>
      <c r="K20" s="134">
        <f>SUMIFS(Projekte!27:27,Projekte!$8:$8,"geplant")</f>
        <v>0</v>
      </c>
      <c r="L20" s="136">
        <f t="shared" si="1"/>
        <v>0</v>
      </c>
      <c r="M20" s="81"/>
      <c r="O20" s="79"/>
      <c r="P20" s="80"/>
      <c r="Q20" s="80"/>
      <c r="R20" s="80"/>
      <c r="S20" s="80"/>
      <c r="T20" s="80"/>
      <c r="U20" s="80"/>
      <c r="V20" s="80"/>
      <c r="W20" s="80"/>
      <c r="X20" s="81"/>
    </row>
    <row r="21" spans="2:25" x14ac:dyDescent="0.25">
      <c r="B21" s="79"/>
      <c r="C21" s="199"/>
      <c r="D21" s="181" t="s">
        <v>399</v>
      </c>
      <c r="E21" s="181" t="s">
        <v>400</v>
      </c>
      <c r="F21" s="181" t="s">
        <v>401</v>
      </c>
      <c r="G21" s="202" t="s">
        <v>402</v>
      </c>
      <c r="H21" s="80"/>
      <c r="I21" s="199" t="s">
        <v>396</v>
      </c>
      <c r="J21" s="132">
        <f>Q7</f>
        <v>29.087587500000001</v>
      </c>
      <c r="K21" s="134">
        <f>SUMIFS(Projekte!29:29,Projekte!$8:$8,"geplant")/4000</f>
        <v>0</v>
      </c>
      <c r="L21" s="136">
        <f t="shared" si="1"/>
        <v>29.087587500000001</v>
      </c>
      <c r="M21" s="81"/>
      <c r="O21" s="79"/>
      <c r="P21" s="203"/>
      <c r="Q21" s="204" t="s">
        <v>473</v>
      </c>
      <c r="R21" s="391" t="s">
        <v>654</v>
      </c>
      <c r="S21" s="391"/>
      <c r="T21" s="204" t="s">
        <v>479</v>
      </c>
      <c r="U21" s="204" t="s">
        <v>480</v>
      </c>
      <c r="V21" s="186" t="s">
        <v>481</v>
      </c>
      <c r="W21" s="112"/>
      <c r="X21" s="81"/>
    </row>
    <row r="22" spans="2:25" x14ac:dyDescent="0.25">
      <c r="B22" s="79"/>
      <c r="C22" s="199" t="s">
        <v>403</v>
      </c>
      <c r="D22" s="72">
        <f>SUM(Projekte!33:33)</f>
        <v>19</v>
      </c>
      <c r="E22" s="72">
        <f>SUM(Projekte!34:34)</f>
        <v>6</v>
      </c>
      <c r="F22" s="72">
        <f>SUM(Projekte!35:35)</f>
        <v>7</v>
      </c>
      <c r="G22" s="73">
        <f>SUM(Projekte!36:36)</f>
        <v>8</v>
      </c>
      <c r="H22" s="80"/>
      <c r="I22" s="199" t="s">
        <v>397</v>
      </c>
      <c r="J22" s="132">
        <f>'Resource Management'!L9</f>
        <v>383</v>
      </c>
      <c r="K22" s="134">
        <f>SUMIFS(Projekte!30:30,Projekte!$8:$8,"geplant")</f>
        <v>0</v>
      </c>
      <c r="L22" s="136">
        <f t="shared" si="1"/>
        <v>383</v>
      </c>
      <c r="M22" s="81"/>
      <c r="O22" s="79"/>
      <c r="P22" s="199" t="s">
        <v>189</v>
      </c>
      <c r="Q22" s="109">
        <f>'Resource Management'!L3</f>
        <v>0</v>
      </c>
      <c r="R22" s="362">
        <f>'Resource Management'!L3*'Resource Management'!D3/2</f>
        <v>0</v>
      </c>
      <c r="S22" s="362"/>
      <c r="T22" s="111">
        <f>'Balanced Score Card'!E17</f>
        <v>1</v>
      </c>
      <c r="U22" s="111">
        <f>AVERAGE('Balanced Score Card'!E7:E8)</f>
        <v>0.21055000000000001</v>
      </c>
      <c r="V22" s="117">
        <f>'Balanced Score Card'!E22</f>
        <v>0</v>
      </c>
      <c r="W22" s="112"/>
      <c r="X22" s="81"/>
    </row>
    <row r="23" spans="2:25" ht="15.75" thickBot="1" x14ac:dyDescent="0.3">
      <c r="B23" s="79"/>
      <c r="C23" s="199" t="s">
        <v>404</v>
      </c>
      <c r="D23" s="72">
        <f>SUM(Projekte!37:37)</f>
        <v>47</v>
      </c>
      <c r="E23" s="72">
        <f>SUM(Projekte!38:38)</f>
        <v>36</v>
      </c>
      <c r="F23" s="72">
        <f>SUM(Projekte!39:39)</f>
        <v>36</v>
      </c>
      <c r="G23" s="73">
        <f>SUM(Projekte!40:40)</f>
        <v>9</v>
      </c>
      <c r="H23" s="80"/>
      <c r="I23" s="201" t="s">
        <v>398</v>
      </c>
      <c r="J23" s="133">
        <f>'Resource Management'!L10</f>
        <v>5037.25</v>
      </c>
      <c r="K23" s="135">
        <f>SUMIFS(Projekte!31:31,Projekte!$8:$8,"geplant")</f>
        <v>0</v>
      </c>
      <c r="L23" s="137">
        <f t="shared" si="1"/>
        <v>5037.25</v>
      </c>
      <c r="M23" s="81"/>
      <c r="O23" s="79"/>
      <c r="P23" s="199" t="s">
        <v>191</v>
      </c>
      <c r="Q23" s="109">
        <f>'Resource Management'!L4</f>
        <v>9.7799999999999994</v>
      </c>
      <c r="R23" s="362">
        <f>'Resource Management'!L4*'Resource Management'!D4/2</f>
        <v>378975</v>
      </c>
      <c r="S23" s="362"/>
      <c r="T23" s="111">
        <f>'Balanced Score Card'!E18</f>
        <v>0.6855</v>
      </c>
      <c r="U23" s="111">
        <f>AVERAGE('Balanced Score Card'!E9:E10)</f>
        <v>0.97985</v>
      </c>
      <c r="V23" s="117">
        <f>'Balanced Score Card'!E23</f>
        <v>0.4143</v>
      </c>
      <c r="W23" s="112"/>
      <c r="X23" s="81"/>
    </row>
    <row r="24" spans="2:25" x14ac:dyDescent="0.25">
      <c r="B24" s="79"/>
      <c r="C24" s="199" t="s">
        <v>405</v>
      </c>
      <c r="D24" s="72">
        <f>SUM(Projekte!41:41)</f>
        <v>38</v>
      </c>
      <c r="E24" s="72">
        <f>SUM(Projekte!42:42)</f>
        <v>17</v>
      </c>
      <c r="F24" s="72">
        <f>SUM(Projekte!43:43)</f>
        <v>17</v>
      </c>
      <c r="G24" s="73">
        <f>SUM(Projekte!44:44)</f>
        <v>8</v>
      </c>
      <c r="H24" s="80"/>
      <c r="I24" s="80"/>
      <c r="J24" s="86"/>
      <c r="K24" s="80"/>
      <c r="L24" s="80"/>
      <c r="M24" s="81"/>
      <c r="O24" s="79"/>
      <c r="P24" s="199" t="s">
        <v>192</v>
      </c>
      <c r="Q24" s="109">
        <f>'Resource Management'!L5</f>
        <v>0.57999999999999996</v>
      </c>
      <c r="R24" s="362">
        <f>'Resource Management'!L5*'Resource Management'!D5/2</f>
        <v>22475</v>
      </c>
      <c r="S24" s="362"/>
      <c r="T24" s="111">
        <f>'Balanced Score Card'!E19</f>
        <v>0.76400000000000001</v>
      </c>
      <c r="U24" s="111">
        <f>AVERAGE('Balanced Score Card'!E11:E12)</f>
        <v>0.97985</v>
      </c>
      <c r="V24" s="117">
        <f>'Balanced Score Card'!E24</f>
        <v>6.2E-2</v>
      </c>
      <c r="W24" s="112"/>
      <c r="X24" s="81"/>
    </row>
    <row r="25" spans="2:25" ht="15.75" thickBot="1" x14ac:dyDescent="0.3">
      <c r="B25" s="79"/>
      <c r="C25" s="201" t="s">
        <v>406</v>
      </c>
      <c r="D25" s="74">
        <f>SUM(Projekte!45:45)</f>
        <v>31</v>
      </c>
      <c r="E25" s="74">
        <f>SUM(Projekte!46:46)</f>
        <v>18</v>
      </c>
      <c r="F25" s="74">
        <f>SUM(Projekte!47:47)</f>
        <v>21</v>
      </c>
      <c r="G25" s="75">
        <f>SUM(Projekte!48:48)</f>
        <v>5</v>
      </c>
      <c r="H25" s="80"/>
      <c r="I25" s="80"/>
      <c r="J25" s="86"/>
      <c r="K25" s="80"/>
      <c r="L25" s="80"/>
      <c r="M25" s="81"/>
      <c r="O25" s="79"/>
      <c r="P25" s="199" t="s">
        <v>193</v>
      </c>
      <c r="Q25" s="109">
        <f>'Resource Management'!L6</f>
        <v>20.41</v>
      </c>
      <c r="R25" s="362">
        <f>'Resource Management'!L6*'Resource Management'!D6/2</f>
        <v>790887.5</v>
      </c>
      <c r="S25" s="362"/>
      <c r="T25" s="111">
        <f>'Balanced Score Card'!E20</f>
        <v>0.74139999999999995</v>
      </c>
      <c r="U25" s="111">
        <f>AVERAGE('Balanced Score Card'!E13:E14)</f>
        <v>0.97985</v>
      </c>
      <c r="V25" s="117">
        <f>'Balanced Score Card'!E25</f>
        <v>0.63070000000000004</v>
      </c>
      <c r="W25" s="112"/>
      <c r="X25" s="81"/>
    </row>
    <row r="26" spans="2:25" ht="15.75" thickBot="1" x14ac:dyDescent="0.3">
      <c r="B26" s="83"/>
      <c r="C26" s="84"/>
      <c r="D26" s="84"/>
      <c r="E26" s="84"/>
      <c r="F26" s="84"/>
      <c r="G26" s="84"/>
      <c r="H26" s="84"/>
      <c r="I26" s="84"/>
      <c r="J26" s="85"/>
      <c r="K26" s="84"/>
      <c r="L26" s="84"/>
      <c r="M26" s="82"/>
      <c r="O26" s="79"/>
      <c r="P26" s="199" t="s">
        <v>194</v>
      </c>
      <c r="Q26" s="109">
        <f>'Resource Management'!L7</f>
        <v>39.61</v>
      </c>
      <c r="R26" s="362">
        <f>'Resource Management'!L7*'Resource Management'!D7/2</f>
        <v>1534887.5</v>
      </c>
      <c r="S26" s="362"/>
      <c r="T26" s="111">
        <f>'Balanced Score Card'!E21</f>
        <v>0.71719999999999995</v>
      </c>
      <c r="U26" s="111">
        <f>AVERAGE('Balanced Score Card'!E15:E16)</f>
        <v>0.97970000000000002</v>
      </c>
      <c r="V26" s="117">
        <f>'Balanced Score Card'!E26</f>
        <v>0.6925</v>
      </c>
      <c r="W26" s="112"/>
      <c r="X26" s="81"/>
    </row>
    <row r="27" spans="2:25" ht="15.75" thickBot="1" x14ac:dyDescent="0.3">
      <c r="O27" s="79"/>
      <c r="P27" s="199" t="s">
        <v>242</v>
      </c>
      <c r="Q27" s="109">
        <f>'Resource Management'!L46</f>
        <v>469.62</v>
      </c>
      <c r="R27" s="362">
        <f>'Resource Management'!L46*'Resource Management'!D46/2</f>
        <v>28177200</v>
      </c>
      <c r="S27" s="362"/>
      <c r="T27" s="124"/>
      <c r="U27" s="124"/>
      <c r="V27" s="125"/>
      <c r="W27" s="112"/>
      <c r="X27" s="81"/>
      <c r="Y27" s="42"/>
    </row>
    <row r="28" spans="2:25" ht="15.75" thickBot="1" x14ac:dyDescent="0.3">
      <c r="B28" s="360" t="s">
        <v>483</v>
      </c>
      <c r="C28" s="358"/>
      <c r="D28" s="358"/>
      <c r="E28" s="358"/>
      <c r="F28" s="358"/>
      <c r="G28" s="358"/>
      <c r="H28" s="358"/>
      <c r="I28" s="358"/>
      <c r="J28" s="358"/>
      <c r="K28" s="358"/>
      <c r="L28" s="358"/>
      <c r="M28" s="361"/>
      <c r="O28" s="79"/>
      <c r="P28" s="199" t="s">
        <v>243</v>
      </c>
      <c r="Q28" s="109">
        <f>'Resource Management'!L47</f>
        <v>414.6</v>
      </c>
      <c r="R28" s="362">
        <f>'Resource Management'!L47*'Resource Management'!D47/2</f>
        <v>16065750</v>
      </c>
      <c r="S28" s="362"/>
      <c r="T28" s="124"/>
      <c r="U28" s="124"/>
      <c r="V28" s="125"/>
      <c r="W28" s="112"/>
      <c r="X28" s="81"/>
      <c r="Y28" s="42"/>
    </row>
    <row r="29" spans="2:25" x14ac:dyDescent="0.25">
      <c r="B29" s="138"/>
      <c r="C29" s="390" t="s">
        <v>660</v>
      </c>
      <c r="D29" s="391"/>
      <c r="E29" s="391"/>
      <c r="F29" s="392"/>
      <c r="G29" s="139"/>
      <c r="H29" s="139"/>
      <c r="I29" s="207"/>
      <c r="J29" s="181" t="s">
        <v>655</v>
      </c>
      <c r="K29" s="139"/>
      <c r="L29" s="139"/>
      <c r="M29" s="140"/>
      <c r="O29" s="79"/>
      <c r="P29" s="199" t="s">
        <v>244</v>
      </c>
      <c r="Q29" s="109">
        <f>'Resource Management'!L48</f>
        <v>18.87</v>
      </c>
      <c r="R29" s="362">
        <f>'Resource Management'!L48*'Resource Management'!D48/2</f>
        <v>731212.5</v>
      </c>
      <c r="S29" s="362"/>
      <c r="T29" s="124"/>
      <c r="U29" s="124"/>
      <c r="V29" s="125"/>
      <c r="W29" s="112"/>
      <c r="X29" s="81"/>
      <c r="Y29" s="42"/>
    </row>
    <row r="30" spans="2:25" x14ac:dyDescent="0.25">
      <c r="B30" s="138"/>
      <c r="C30" s="382" t="s">
        <v>662</v>
      </c>
      <c r="D30" s="383"/>
      <c r="E30" s="384">
        <f>SUM(R40:S42)</f>
        <v>146784537.5</v>
      </c>
      <c r="F30" s="385"/>
      <c r="G30" s="172"/>
      <c r="H30" s="139"/>
      <c r="I30" s="208" t="s">
        <v>657</v>
      </c>
      <c r="J30" s="189">
        <f>'Management Overview'!E122</f>
        <v>6.9660503428498971E-2</v>
      </c>
      <c r="K30" s="139"/>
      <c r="L30" s="139"/>
      <c r="M30" s="140"/>
      <c r="O30" s="79"/>
      <c r="P30" s="199" t="s">
        <v>245</v>
      </c>
      <c r="Q30" s="109">
        <f>'Resource Management'!L49</f>
        <v>43.32</v>
      </c>
      <c r="R30" s="362">
        <f>'Resource Management'!L49*'Resource Management'!D49/2</f>
        <v>1678650</v>
      </c>
      <c r="S30" s="362"/>
      <c r="T30" s="111">
        <f>'Balanced Score Card'!E60</f>
        <v>0.5585</v>
      </c>
      <c r="U30" s="111">
        <f>'Balanced Score Card'!E61</f>
        <v>0.98129999999999995</v>
      </c>
      <c r="V30" s="117">
        <f>'Balanced Score Card'!E59</f>
        <v>0.122</v>
      </c>
      <c r="W30" s="112"/>
      <c r="X30" s="81"/>
      <c r="Y30" s="42"/>
    </row>
    <row r="31" spans="2:25" x14ac:dyDescent="0.25">
      <c r="B31" s="138"/>
      <c r="C31" s="382" t="s">
        <v>491</v>
      </c>
      <c r="D31" s="383"/>
      <c r="E31" s="384"/>
      <c r="F31" s="385"/>
      <c r="G31" s="80"/>
      <c r="H31" s="139"/>
      <c r="I31" s="208" t="s">
        <v>658</v>
      </c>
      <c r="J31" s="191">
        <f>0.015*('Management Overview'!E50*20000+'Management Overview'!E51*39000+'Management Overview'!E52*50000)*0.8</f>
        <v>159966690</v>
      </c>
      <c r="K31" s="139"/>
      <c r="L31" s="139"/>
      <c r="M31" s="140"/>
      <c r="O31" s="79"/>
      <c r="P31" s="199" t="s">
        <v>246</v>
      </c>
      <c r="Q31" s="109">
        <f>'Resource Management'!L50</f>
        <v>241.13</v>
      </c>
      <c r="R31" s="362">
        <f>'Resource Management'!L50*'Resource Management'!D50/2</f>
        <v>6028250</v>
      </c>
      <c r="S31" s="362"/>
      <c r="T31" s="111">
        <f>'Balanced Score Card'!E85</f>
        <v>0.63800000000000001</v>
      </c>
      <c r="U31" s="111">
        <f>'Balanced Score Card'!E91</f>
        <v>0.97960000000000003</v>
      </c>
      <c r="V31" s="117">
        <f>'Balanced Score Card'!E79</f>
        <v>4.3400000000000001E-2</v>
      </c>
      <c r="W31" s="112"/>
      <c r="X31" s="81"/>
      <c r="Y31" s="42"/>
    </row>
    <row r="32" spans="2:25" x14ac:dyDescent="0.25">
      <c r="B32" s="138"/>
      <c r="C32" s="382"/>
      <c r="D32" s="383"/>
      <c r="E32" s="384"/>
      <c r="F32" s="385"/>
      <c r="G32" s="80"/>
      <c r="H32" s="139"/>
      <c r="I32" s="208" t="s">
        <v>659</v>
      </c>
      <c r="J32" s="192">
        <f>('Management Overview'!E5*0.04)+'Management Overview'!E6*0.04</f>
        <v>0</v>
      </c>
      <c r="K32" s="139"/>
      <c r="L32" s="139"/>
      <c r="M32" s="140"/>
      <c r="O32" s="79"/>
      <c r="P32" s="199" t="s">
        <v>247</v>
      </c>
      <c r="Q32" s="109">
        <f>'Resource Management'!L51</f>
        <v>208.12</v>
      </c>
      <c r="R32" s="362">
        <f>'Resource Management'!L51*'Resource Management'!D51/2</f>
        <v>5203000</v>
      </c>
      <c r="S32" s="362"/>
      <c r="T32" s="111">
        <f>'Balanced Score Card'!E86</f>
        <v>0.69789999999999996</v>
      </c>
      <c r="U32" s="111">
        <f>'Balanced Score Card'!E92</f>
        <v>0.97960000000000003</v>
      </c>
      <c r="V32" s="117">
        <f>'Balanced Score Card'!E80</f>
        <v>0.18229999999999999</v>
      </c>
      <c r="W32" s="112"/>
      <c r="X32" s="81"/>
      <c r="Y32" s="42"/>
    </row>
    <row r="33" spans="2:25" x14ac:dyDescent="0.25">
      <c r="B33" s="138"/>
      <c r="C33" s="382"/>
      <c r="D33" s="383"/>
      <c r="E33" s="384"/>
      <c r="F33" s="385"/>
      <c r="G33" s="80"/>
      <c r="H33" s="139"/>
      <c r="I33" s="172"/>
      <c r="J33" s="209"/>
      <c r="K33" s="139"/>
      <c r="L33" s="139"/>
      <c r="M33" s="140"/>
      <c r="O33" s="79"/>
      <c r="P33" s="199" t="s">
        <v>248</v>
      </c>
      <c r="Q33" s="109">
        <f>'Resource Management'!L52</f>
        <v>468.29</v>
      </c>
      <c r="R33" s="362">
        <f>'Resource Management'!L52*'Resource Management'!D52/2</f>
        <v>11707250</v>
      </c>
      <c r="S33" s="362"/>
      <c r="T33" s="111">
        <f>'Balanced Score Card'!E87</f>
        <v>1</v>
      </c>
      <c r="U33" s="111">
        <f>'Balanced Score Card'!E93</f>
        <v>0.97960000000000003</v>
      </c>
      <c r="V33" s="117">
        <f>'Balanced Score Card'!E81</f>
        <v>0.66869999999999996</v>
      </c>
      <c r="W33" s="112"/>
      <c r="X33" s="81"/>
      <c r="Y33" s="42"/>
    </row>
    <row r="34" spans="2:25" x14ac:dyDescent="0.25">
      <c r="B34" s="138"/>
      <c r="C34" s="382"/>
      <c r="D34" s="383"/>
      <c r="E34" s="384"/>
      <c r="F34" s="385"/>
      <c r="G34" s="80"/>
      <c r="H34" s="139"/>
      <c r="I34" s="139"/>
      <c r="J34" s="139"/>
      <c r="K34" s="139"/>
      <c r="L34" s="139"/>
      <c r="M34" s="140"/>
      <c r="O34" s="79"/>
      <c r="P34" s="199" t="s">
        <v>249</v>
      </c>
      <c r="Q34" s="109">
        <f>'Resource Management'!L53</f>
        <v>1463.15</v>
      </c>
      <c r="R34" s="362">
        <f>'Resource Management'!L53*'Resource Management'!D53/2</f>
        <v>36578750</v>
      </c>
      <c r="S34" s="362"/>
      <c r="T34" s="111">
        <f>'Balanced Score Card'!E88</f>
        <v>1</v>
      </c>
      <c r="U34" s="111">
        <f>'Balanced Score Card'!E94</f>
        <v>0.97960000000000003</v>
      </c>
      <c r="V34" s="117">
        <f>'Balanced Score Card'!E82</f>
        <v>0.64829999999999999</v>
      </c>
      <c r="W34" s="112"/>
      <c r="X34" s="81"/>
      <c r="Y34" s="42"/>
    </row>
    <row r="35" spans="2:25" ht="15.75" thickBot="1" x14ac:dyDescent="0.3">
      <c r="B35" s="138"/>
      <c r="C35" s="386"/>
      <c r="D35" s="387"/>
      <c r="E35" s="388"/>
      <c r="F35" s="389"/>
      <c r="G35" s="80"/>
      <c r="H35" s="139"/>
      <c r="I35" s="139"/>
      <c r="J35" s="139"/>
      <c r="K35" s="139"/>
      <c r="L35" s="139"/>
      <c r="M35" s="140"/>
      <c r="O35" s="79"/>
      <c r="P35" s="199" t="s">
        <v>250</v>
      </c>
      <c r="Q35" s="109">
        <f>'Resource Management'!L54</f>
        <v>1243.83</v>
      </c>
      <c r="R35" s="362">
        <f>'Resource Management'!L54*'Resource Management'!D54/2</f>
        <v>31095750</v>
      </c>
      <c r="S35" s="362"/>
      <c r="T35" s="111">
        <f>'Balanced Score Card'!E89</f>
        <v>1</v>
      </c>
      <c r="U35" s="111">
        <f>'Balanced Score Card'!E95</f>
        <v>0.97960000000000003</v>
      </c>
      <c r="V35" s="117">
        <f>'Balanced Score Card'!E83</f>
        <v>0.67349999999999999</v>
      </c>
      <c r="W35" s="112"/>
      <c r="X35" s="81"/>
      <c r="Y35" s="42"/>
    </row>
    <row r="36" spans="2:25" ht="15.75" thickBot="1" x14ac:dyDescent="0.3">
      <c r="B36" s="138"/>
      <c r="C36" s="139"/>
      <c r="D36" s="139"/>
      <c r="E36" s="139"/>
      <c r="F36" s="80"/>
      <c r="G36" s="80"/>
      <c r="H36" s="139"/>
      <c r="I36" s="268"/>
      <c r="J36" s="139"/>
      <c r="K36" s="139"/>
      <c r="L36" s="139"/>
      <c r="M36" s="140"/>
      <c r="O36" s="79"/>
      <c r="P36" s="199" t="s">
        <v>251</v>
      </c>
      <c r="Q36" s="109">
        <f>'Resource Management'!L55</f>
        <v>271.66000000000003</v>
      </c>
      <c r="R36" s="362">
        <f>'Resource Management'!L55*'Resource Management'!D55/2</f>
        <v>6791500.0000000009</v>
      </c>
      <c r="S36" s="362"/>
      <c r="T36" s="111">
        <f>'Balanced Score Card'!E90</f>
        <v>1</v>
      </c>
      <c r="U36" s="111">
        <f>'Balanced Score Card'!E96</f>
        <v>0.97960000000000003</v>
      </c>
      <c r="V36" s="117">
        <f>'Balanced Score Card'!E84</f>
        <v>0.56879999999999997</v>
      </c>
      <c r="W36" s="112"/>
      <c r="X36" s="81"/>
      <c r="Y36" s="42"/>
    </row>
    <row r="37" spans="2:25" x14ac:dyDescent="0.25">
      <c r="B37" s="138"/>
      <c r="C37" s="390" t="s">
        <v>661</v>
      </c>
      <c r="D37" s="391"/>
      <c r="E37" s="391"/>
      <c r="F37" s="392"/>
      <c r="G37" s="172"/>
      <c r="H37" s="139"/>
      <c r="I37" s="139"/>
      <c r="J37" s="139"/>
      <c r="K37" s="139"/>
      <c r="L37" s="139"/>
      <c r="M37" s="140"/>
      <c r="O37" s="79"/>
      <c r="P37" s="199" t="s">
        <v>253</v>
      </c>
      <c r="Q37" s="109">
        <f>'Resource Management'!L56</f>
        <v>0</v>
      </c>
      <c r="R37" s="362">
        <f>'Resource Management'!L56*'Resource Management'!D56/2</f>
        <v>0</v>
      </c>
      <c r="S37" s="362"/>
      <c r="T37" s="126"/>
      <c r="U37" s="126"/>
      <c r="V37" s="127"/>
      <c r="W37" s="112"/>
      <c r="X37" s="81"/>
    </row>
    <row r="38" spans="2:25" x14ac:dyDescent="0.25">
      <c r="B38" s="138"/>
      <c r="C38" s="382" t="s">
        <v>491</v>
      </c>
      <c r="D38" s="383"/>
      <c r="E38" s="384">
        <f>SUM('Resource Management'!M8:M31)</f>
        <v>0</v>
      </c>
      <c r="F38" s="385"/>
      <c r="G38" s="139"/>
      <c r="H38" s="139"/>
      <c r="I38" s="139"/>
      <c r="J38" s="139"/>
      <c r="K38" s="139"/>
      <c r="L38" s="139"/>
      <c r="M38" s="140"/>
      <c r="O38" s="79"/>
      <c r="P38" s="199" t="s">
        <v>255</v>
      </c>
      <c r="Q38" s="109">
        <f>'Resource Management'!L57</f>
        <v>0</v>
      </c>
      <c r="R38" s="362">
        <f>'Resource Management'!L57*'Resource Management'!D57/2</f>
        <v>0</v>
      </c>
      <c r="S38" s="362"/>
      <c r="T38" s="126"/>
      <c r="U38" s="126"/>
      <c r="V38" s="127"/>
      <c r="W38" s="112"/>
      <c r="X38" s="81"/>
    </row>
    <row r="39" spans="2:25" ht="15.75" thickBot="1" x14ac:dyDescent="0.3">
      <c r="B39" s="138"/>
      <c r="C39" s="382" t="s">
        <v>663</v>
      </c>
      <c r="D39" s="383"/>
      <c r="E39" s="384">
        <f>SUM('Speicher Kosten'!K2:K19)</f>
        <v>0</v>
      </c>
      <c r="F39" s="385"/>
      <c r="G39" s="139"/>
      <c r="H39" s="139"/>
      <c r="I39" s="139"/>
      <c r="J39" s="139"/>
      <c r="K39" s="139"/>
      <c r="L39" s="139"/>
      <c r="M39" s="140"/>
      <c r="O39" s="79"/>
      <c r="P39" s="206" t="s">
        <v>257</v>
      </c>
      <c r="Q39" s="116">
        <f>'Resource Management'!L58</f>
        <v>0</v>
      </c>
      <c r="R39" s="393">
        <f>'Resource Management'!L58*'Resource Management'!D58/2</f>
        <v>0</v>
      </c>
      <c r="S39" s="393"/>
      <c r="T39" s="128"/>
      <c r="U39" s="128"/>
      <c r="V39" s="129"/>
      <c r="W39" s="112"/>
      <c r="X39" s="81"/>
    </row>
    <row r="40" spans="2:25" ht="15.75" thickTop="1" x14ac:dyDescent="0.25">
      <c r="B40" s="138"/>
      <c r="C40" s="382"/>
      <c r="D40" s="383"/>
      <c r="E40" s="384"/>
      <c r="F40" s="385"/>
      <c r="G40" s="139"/>
      <c r="H40" s="139"/>
      <c r="I40" s="139"/>
      <c r="J40" s="139"/>
      <c r="K40" s="139"/>
      <c r="L40" s="139"/>
      <c r="M40" s="140"/>
      <c r="O40" s="79"/>
      <c r="P40" s="200" t="s">
        <v>476</v>
      </c>
      <c r="Q40" s="114">
        <f>Q22+Q23+Q24+Q25+Q26</f>
        <v>70.38</v>
      </c>
      <c r="R40" s="394">
        <f>R22+R23+R24+R25+R26</f>
        <v>2727225</v>
      </c>
      <c r="S40" s="395"/>
      <c r="T40" s="115">
        <f>SUMPRODUCT(Q22:Q26,T22:T26)/SUM(Q22:Q26)</f>
        <v>0.72019857914180163</v>
      </c>
      <c r="U40" s="115">
        <f>SUMPRODUCT(Q22:Q26,U22:U26)/SUM(Q22:Q26)</f>
        <v>0.97976557971014511</v>
      </c>
      <c r="V40" s="118">
        <f>SUMPRODUCT(Q22:Q26,V22:V26)/SUM(Q22:Q26)</f>
        <v>0.6307235862460927</v>
      </c>
      <c r="W40" s="112"/>
      <c r="X40" s="81"/>
    </row>
    <row r="41" spans="2:25" x14ac:dyDescent="0.25">
      <c r="B41" s="138"/>
      <c r="C41" s="382"/>
      <c r="D41" s="383"/>
      <c r="E41" s="384"/>
      <c r="F41" s="385"/>
      <c r="G41" s="139"/>
      <c r="H41" s="139"/>
      <c r="I41" s="139"/>
      <c r="J41" s="139"/>
      <c r="K41" s="139"/>
      <c r="L41" s="139"/>
      <c r="M41" s="140"/>
      <c r="O41" s="79"/>
      <c r="P41" s="199" t="s">
        <v>477</v>
      </c>
      <c r="Q41" s="109">
        <f>SUM(Q27:Q36)</f>
        <v>4842.59</v>
      </c>
      <c r="R41" s="362">
        <f>SUM(R27:S36)</f>
        <v>144057312.5</v>
      </c>
      <c r="S41" s="362"/>
      <c r="T41" s="113">
        <f>SUMPRODUCT(Q31:Q36,T31:T36)/SUM(Q31:Q36)</f>
        <v>0.96145914408471889</v>
      </c>
      <c r="U41" s="113">
        <f>SUMPRODUCT(Q31:Q36,U31:U36)/SUM(Q31:Q36)</f>
        <v>0.97960000000000014</v>
      </c>
      <c r="V41" s="119">
        <f>SUMPRODUCT(Q31:Q36,V31:V36)/SUM(Q31:Q36)</f>
        <v>0.59092513667233038</v>
      </c>
      <c r="W41" s="112"/>
      <c r="X41" s="81"/>
    </row>
    <row r="42" spans="2:25" ht="15.75" thickBot="1" x14ac:dyDescent="0.3">
      <c r="B42" s="138"/>
      <c r="C42" s="386"/>
      <c r="D42" s="387"/>
      <c r="E42" s="388"/>
      <c r="F42" s="389"/>
      <c r="G42" s="139"/>
      <c r="H42" s="139"/>
      <c r="I42" s="139"/>
      <c r="J42" s="139"/>
      <c r="K42" s="139"/>
      <c r="L42" s="139"/>
      <c r="M42" s="140"/>
      <c r="O42" s="79"/>
      <c r="P42" s="201" t="s">
        <v>478</v>
      </c>
      <c r="Q42" s="120">
        <f>SUM(Q37:Q39)</f>
        <v>0</v>
      </c>
      <c r="R42" s="363">
        <f>SUM(R37:S39)</f>
        <v>0</v>
      </c>
      <c r="S42" s="363"/>
      <c r="T42" s="130"/>
      <c r="U42" s="130"/>
      <c r="V42" s="131"/>
      <c r="W42" s="112"/>
      <c r="X42" s="81"/>
    </row>
    <row r="43" spans="2:25" ht="15.75" thickBot="1" x14ac:dyDescent="0.3">
      <c r="B43" s="141"/>
      <c r="C43" s="142"/>
      <c r="D43" s="142"/>
      <c r="E43" s="142"/>
      <c r="F43" s="142"/>
      <c r="G43" s="142"/>
      <c r="H43" s="142"/>
      <c r="I43" s="142"/>
      <c r="J43" s="142"/>
      <c r="K43" s="142"/>
      <c r="L43" s="142"/>
      <c r="M43" s="143"/>
      <c r="O43" s="83"/>
      <c r="P43" s="84"/>
      <c r="Q43" s="84"/>
      <c r="R43" s="84"/>
      <c r="S43" s="84"/>
      <c r="T43" s="84"/>
      <c r="U43" s="84"/>
      <c r="V43" s="84"/>
      <c r="W43" s="84"/>
      <c r="X43" s="82"/>
    </row>
    <row r="44" spans="2:25" ht="15.75" thickBot="1" x14ac:dyDescent="0.3"/>
    <row r="45" spans="2:25" ht="15.75" thickBot="1" x14ac:dyDescent="0.3">
      <c r="B45" s="77"/>
      <c r="C45" s="237"/>
      <c r="D45" s="237"/>
      <c r="E45" s="237"/>
      <c r="F45" s="237"/>
      <c r="G45" s="237"/>
      <c r="H45" s="237"/>
      <c r="I45" s="237"/>
      <c r="J45" s="238"/>
      <c r="K45" s="237"/>
      <c r="L45" s="237"/>
      <c r="M45" s="78"/>
    </row>
    <row r="46" spans="2:25" x14ac:dyDescent="0.25">
      <c r="B46" s="79"/>
      <c r="C46" s="370" t="s">
        <v>602</v>
      </c>
      <c r="D46" s="402"/>
      <c r="E46" s="402"/>
      <c r="F46" s="371"/>
      <c r="G46" s="80"/>
      <c r="H46" s="80"/>
      <c r="I46" s="370" t="s">
        <v>633</v>
      </c>
      <c r="J46" s="371"/>
      <c r="K46" s="80"/>
      <c r="L46" s="80"/>
      <c r="M46" s="81"/>
    </row>
    <row r="47" spans="2:25" x14ac:dyDescent="0.25">
      <c r="B47" s="79"/>
      <c r="C47" s="364" t="s">
        <v>672</v>
      </c>
      <c r="D47" s="365"/>
      <c r="E47" s="366">
        <f>SUM('Management Overview'!E47:E49)</f>
        <v>431147.2</v>
      </c>
      <c r="F47" s="367"/>
      <c r="G47" s="80"/>
      <c r="H47" s="80"/>
      <c r="I47" s="239" t="s">
        <v>672</v>
      </c>
      <c r="J47" s="240">
        <f>'Management Overview'!E88</f>
        <v>6622797</v>
      </c>
      <c r="K47" s="80"/>
      <c r="L47" s="80"/>
      <c r="M47" s="81"/>
    </row>
    <row r="48" spans="2:25" x14ac:dyDescent="0.25">
      <c r="B48" s="79"/>
      <c r="C48" s="364" t="s">
        <v>671</v>
      </c>
      <c r="D48" s="365"/>
      <c r="E48" s="366">
        <f>SUM('Management Overview'!E50:E52)</f>
        <v>410171</v>
      </c>
      <c r="F48" s="367"/>
      <c r="G48" s="80"/>
      <c r="H48" s="80"/>
      <c r="I48" s="239" t="s">
        <v>671</v>
      </c>
      <c r="J48" s="240">
        <f>'Management Overview'!E89</f>
        <v>4176677.7</v>
      </c>
      <c r="K48" s="80"/>
      <c r="L48" s="80"/>
      <c r="M48" s="81"/>
    </row>
    <row r="49" spans="2:24" x14ac:dyDescent="0.25">
      <c r="B49" s="79"/>
      <c r="C49" s="364" t="s">
        <v>673</v>
      </c>
      <c r="D49" s="365"/>
      <c r="E49" s="368">
        <f>E48/E47</f>
        <v>0.95134793870863588</v>
      </c>
      <c r="F49" s="369"/>
      <c r="G49" s="80"/>
      <c r="H49" s="80"/>
      <c r="I49" s="239" t="s">
        <v>673</v>
      </c>
      <c r="J49" s="241">
        <f>J48/J47</f>
        <v>0.63065162649557283</v>
      </c>
      <c r="K49" s="80"/>
      <c r="L49" s="80"/>
      <c r="M49" s="81"/>
    </row>
    <row r="50" spans="2:24" x14ac:dyDescent="0.25">
      <c r="B50" s="79"/>
      <c r="C50" s="364" t="s">
        <v>612</v>
      </c>
      <c r="D50" s="365"/>
      <c r="E50" s="378">
        <f>'Management Overview'!E55</f>
        <v>241.1</v>
      </c>
      <c r="F50" s="379"/>
      <c r="G50" s="80"/>
      <c r="H50" s="80"/>
      <c r="I50" s="239" t="s">
        <v>612</v>
      </c>
      <c r="J50" s="242">
        <f>'Management Overview'!E92</f>
        <v>1463.2</v>
      </c>
      <c r="K50" s="80"/>
      <c r="L50" s="80"/>
      <c r="M50" s="81"/>
    </row>
    <row r="51" spans="2:24" x14ac:dyDescent="0.25">
      <c r="B51" s="79"/>
      <c r="C51" s="364" t="s">
        <v>613</v>
      </c>
      <c r="D51" s="365"/>
      <c r="E51" s="380">
        <f>'Management Overview'!E56</f>
        <v>0.63</v>
      </c>
      <c r="F51" s="381"/>
      <c r="G51" s="80"/>
      <c r="H51" s="80"/>
      <c r="I51" s="239" t="s">
        <v>613</v>
      </c>
      <c r="J51" s="243">
        <f>'Management Overview'!E93</f>
        <v>1</v>
      </c>
      <c r="K51" s="80"/>
      <c r="L51" s="80"/>
      <c r="M51" s="81"/>
    </row>
    <row r="52" spans="2:24" x14ac:dyDescent="0.25">
      <c r="B52" s="79"/>
      <c r="C52" s="364" t="s">
        <v>674</v>
      </c>
      <c r="D52" s="365"/>
      <c r="E52" s="372">
        <f>E47/(E48/(E50*E51))</f>
        <v>159.66082840961454</v>
      </c>
      <c r="F52" s="373"/>
      <c r="G52" s="80"/>
      <c r="H52" s="80"/>
      <c r="I52" s="239" t="s">
        <v>674</v>
      </c>
      <c r="J52" s="242">
        <f>J47/(J48/(J50*J51))</f>
        <v>2320.1398974117633</v>
      </c>
      <c r="K52" s="80"/>
      <c r="L52" s="80"/>
      <c r="M52" s="81"/>
    </row>
    <row r="53" spans="2:24" ht="15.75" thickBot="1" x14ac:dyDescent="0.3">
      <c r="B53" s="79"/>
      <c r="C53" s="374" t="s">
        <v>675</v>
      </c>
      <c r="D53" s="375"/>
      <c r="E53" s="376">
        <f>(E48/E50*Q31)/E47</f>
        <v>0.9514663146446013</v>
      </c>
      <c r="F53" s="377"/>
      <c r="G53" s="80"/>
      <c r="H53" s="80"/>
      <c r="I53" s="244" t="s">
        <v>675</v>
      </c>
      <c r="J53" s="245">
        <f>(J48/J50*Q34)/J47</f>
        <v>0.63063007607093868</v>
      </c>
      <c r="K53" s="80"/>
      <c r="L53" s="80"/>
      <c r="M53" s="81"/>
    </row>
    <row r="54" spans="2:24" ht="15.75" thickBot="1" x14ac:dyDescent="0.3">
      <c r="B54" s="83"/>
      <c r="C54" s="84"/>
      <c r="D54" s="84"/>
      <c r="E54" s="84"/>
      <c r="F54" s="84"/>
      <c r="G54" s="84"/>
      <c r="H54" s="84"/>
      <c r="I54" s="84"/>
      <c r="J54" s="85"/>
      <c r="K54" s="84"/>
      <c r="L54" s="84"/>
      <c r="M54" s="82"/>
    </row>
    <row r="55" spans="2:24" ht="15.75" thickBot="1" x14ac:dyDescent="0.3"/>
    <row r="56" spans="2:24" x14ac:dyDescent="0.25">
      <c r="B56" s="360" t="s">
        <v>656</v>
      </c>
      <c r="C56" s="358"/>
      <c r="D56" s="358"/>
      <c r="E56" s="358"/>
      <c r="F56" s="358"/>
      <c r="G56" s="358"/>
      <c r="H56" s="358"/>
      <c r="I56" s="358"/>
      <c r="J56" s="358"/>
      <c r="K56" s="358"/>
      <c r="L56" s="358"/>
      <c r="M56" s="361"/>
      <c r="O56" s="360" t="s">
        <v>668</v>
      </c>
      <c r="P56" s="358"/>
      <c r="Q56" s="358"/>
      <c r="R56" s="358"/>
      <c r="S56" s="358"/>
      <c r="T56" s="358"/>
      <c r="U56" s="358"/>
      <c r="V56" s="358"/>
      <c r="W56" s="358"/>
      <c r="X56" s="361"/>
    </row>
    <row r="57" spans="2:24" x14ac:dyDescent="0.25">
      <c r="B57" s="79"/>
      <c r="C57" s="42"/>
      <c r="D57" s="42"/>
      <c r="E57" s="42"/>
      <c r="F57" s="42"/>
      <c r="G57" s="42"/>
      <c r="H57" s="42"/>
      <c r="I57" s="42"/>
      <c r="J57" s="190"/>
      <c r="K57" s="42"/>
      <c r="L57" s="42"/>
      <c r="M57" s="81"/>
      <c r="O57" s="79"/>
      <c r="P57" s="42"/>
      <c r="Q57" s="42"/>
      <c r="R57" s="42"/>
      <c r="S57" s="42"/>
      <c r="T57" s="42"/>
      <c r="U57" s="42"/>
      <c r="V57" s="42"/>
      <c r="W57" s="42"/>
      <c r="X57" s="81"/>
    </row>
    <row r="58" spans="2:24" x14ac:dyDescent="0.25">
      <c r="B58" s="79"/>
      <c r="C58" s="42"/>
      <c r="D58" s="42"/>
      <c r="E58" s="42"/>
      <c r="F58" s="42"/>
      <c r="G58" s="42"/>
      <c r="H58" s="42"/>
      <c r="I58" s="42"/>
      <c r="J58" s="190"/>
      <c r="K58" s="42"/>
      <c r="L58" s="42"/>
      <c r="M58" s="81"/>
      <c r="O58" s="79"/>
      <c r="P58" s="42"/>
      <c r="Q58" s="42"/>
      <c r="R58" s="42"/>
      <c r="S58" s="42"/>
      <c r="T58" s="42"/>
      <c r="U58" s="42"/>
      <c r="V58" s="42"/>
      <c r="W58" s="42"/>
      <c r="X58" s="81"/>
    </row>
    <row r="59" spans="2:24" x14ac:dyDescent="0.25">
      <c r="B59" s="79"/>
      <c r="C59" s="42"/>
      <c r="D59" s="42"/>
      <c r="E59" s="42"/>
      <c r="F59" s="42"/>
      <c r="G59" s="42"/>
      <c r="H59" s="42"/>
      <c r="I59" s="42"/>
      <c r="J59" s="190"/>
      <c r="K59" s="42"/>
      <c r="L59" s="42"/>
      <c r="M59" s="81"/>
      <c r="O59" s="79"/>
      <c r="P59" s="42"/>
      <c r="Q59" s="42"/>
      <c r="R59" s="42"/>
      <c r="S59" s="42"/>
      <c r="T59" s="42"/>
      <c r="U59" s="42"/>
      <c r="V59" s="42"/>
      <c r="W59" s="42"/>
      <c r="X59" s="81"/>
    </row>
    <row r="60" spans="2:24" x14ac:dyDescent="0.25">
      <c r="B60" s="79"/>
      <c r="C60" s="42"/>
      <c r="D60" s="42"/>
      <c r="E60" s="42"/>
      <c r="F60" s="42"/>
      <c r="G60" s="42"/>
      <c r="H60" s="42"/>
      <c r="I60" s="42"/>
      <c r="J60" s="190"/>
      <c r="K60" s="42"/>
      <c r="L60" s="42"/>
      <c r="M60" s="81"/>
      <c r="O60" s="79"/>
      <c r="P60" s="42"/>
      <c r="Q60" s="42"/>
      <c r="R60" s="42"/>
      <c r="S60" s="42"/>
      <c r="T60" s="42"/>
      <c r="U60" s="42"/>
      <c r="V60" s="42"/>
      <c r="W60" s="42"/>
      <c r="X60" s="81"/>
    </row>
    <row r="61" spans="2:24" x14ac:dyDescent="0.25">
      <c r="B61" s="79"/>
      <c r="C61" s="42"/>
      <c r="D61" s="42"/>
      <c r="E61" s="42"/>
      <c r="F61" s="42"/>
      <c r="G61" s="42"/>
      <c r="H61" s="42"/>
      <c r="I61" s="42"/>
      <c r="J61" s="190"/>
      <c r="K61" s="42"/>
      <c r="L61" s="42"/>
      <c r="M61" s="81"/>
      <c r="O61" s="79"/>
      <c r="P61" s="42"/>
      <c r="Q61" s="42"/>
      <c r="R61" s="42"/>
      <c r="S61" s="42"/>
      <c r="T61" s="42"/>
      <c r="U61" s="42"/>
      <c r="V61" s="42"/>
      <c r="W61" s="42"/>
      <c r="X61" s="81"/>
    </row>
    <row r="62" spans="2:24" x14ac:dyDescent="0.25">
      <c r="B62" s="79"/>
      <c r="C62" s="42"/>
      <c r="D62" s="42"/>
      <c r="E62" s="42"/>
      <c r="F62" s="42"/>
      <c r="G62" s="42"/>
      <c r="H62" s="42"/>
      <c r="I62" s="42"/>
      <c r="J62" s="190"/>
      <c r="K62" s="42"/>
      <c r="L62" s="42"/>
      <c r="M62" s="81"/>
      <c r="O62" s="79"/>
      <c r="P62" s="42"/>
      <c r="Q62" s="42"/>
      <c r="R62" s="42"/>
      <c r="S62" s="42"/>
      <c r="T62" s="42"/>
      <c r="U62" s="42"/>
      <c r="V62" s="42"/>
      <c r="W62" s="42"/>
      <c r="X62" s="81"/>
    </row>
    <row r="63" spans="2:24" x14ac:dyDescent="0.25">
      <c r="B63" s="79"/>
      <c r="C63" s="42"/>
      <c r="D63" s="42"/>
      <c r="E63" s="42"/>
      <c r="F63" s="42"/>
      <c r="G63" s="42"/>
      <c r="H63" s="42"/>
      <c r="I63" s="42"/>
      <c r="J63" s="190"/>
      <c r="K63" s="42"/>
      <c r="L63" s="42"/>
      <c r="M63" s="81"/>
      <c r="O63" s="79"/>
      <c r="P63" s="42"/>
      <c r="Q63" s="42"/>
      <c r="R63" s="42"/>
      <c r="S63" s="42"/>
      <c r="T63" s="42"/>
      <c r="U63" s="42"/>
      <c r="V63" s="42"/>
      <c r="W63" s="42"/>
      <c r="X63" s="81"/>
    </row>
    <row r="64" spans="2:24" x14ac:dyDescent="0.25">
      <c r="B64" s="79"/>
      <c r="C64" s="42"/>
      <c r="D64" s="42"/>
      <c r="E64" s="42"/>
      <c r="F64" s="42"/>
      <c r="G64" s="42"/>
      <c r="H64" s="42"/>
      <c r="I64" s="42"/>
      <c r="J64" s="190"/>
      <c r="K64" s="42"/>
      <c r="L64" s="42"/>
      <c r="M64" s="81"/>
      <c r="O64" s="79"/>
      <c r="P64" s="42"/>
      <c r="Q64" s="42"/>
      <c r="R64" s="42"/>
      <c r="S64" s="42"/>
      <c r="T64" s="42"/>
      <c r="U64" s="42"/>
      <c r="V64" s="42"/>
      <c r="W64" s="42"/>
      <c r="X64" s="81"/>
    </row>
    <row r="65" spans="2:24" x14ac:dyDescent="0.25">
      <c r="B65" s="79"/>
      <c r="C65" s="42"/>
      <c r="D65" s="42"/>
      <c r="E65" s="42"/>
      <c r="F65" s="42"/>
      <c r="G65" s="42"/>
      <c r="H65" s="42"/>
      <c r="I65" s="42"/>
      <c r="J65" s="190"/>
      <c r="K65" s="42"/>
      <c r="L65" s="42"/>
      <c r="M65" s="81"/>
      <c r="O65" s="79"/>
      <c r="P65" s="42"/>
      <c r="Q65" s="42"/>
      <c r="R65" s="42"/>
      <c r="S65" s="42"/>
      <c r="T65" s="42"/>
      <c r="U65" s="42"/>
      <c r="V65" s="42"/>
      <c r="W65" s="42"/>
      <c r="X65" s="81"/>
    </row>
    <row r="66" spans="2:24" x14ac:dyDescent="0.25">
      <c r="B66" s="79"/>
      <c r="C66" s="42"/>
      <c r="D66" s="42"/>
      <c r="E66" s="42"/>
      <c r="F66" s="42"/>
      <c r="G66" s="42"/>
      <c r="H66" s="42"/>
      <c r="I66" s="42"/>
      <c r="J66" s="190"/>
      <c r="K66" s="42"/>
      <c r="L66" s="42"/>
      <c r="M66" s="81"/>
      <c r="O66" s="79"/>
      <c r="P66" s="42"/>
      <c r="Q66" s="42"/>
      <c r="R66" s="42"/>
      <c r="S66" s="42"/>
      <c r="T66" s="42"/>
      <c r="U66" s="42"/>
      <c r="V66" s="42"/>
      <c r="W66" s="42"/>
      <c r="X66" s="81"/>
    </row>
    <row r="67" spans="2:24" x14ac:dyDescent="0.25">
      <c r="B67" s="79"/>
      <c r="C67" s="42"/>
      <c r="D67" s="42"/>
      <c r="E67" s="42"/>
      <c r="F67" s="42"/>
      <c r="G67" s="42"/>
      <c r="H67" s="42"/>
      <c r="I67" s="42"/>
      <c r="J67" s="190"/>
      <c r="K67" s="42"/>
      <c r="L67" s="42"/>
      <c r="M67" s="81"/>
      <c r="O67" s="79"/>
      <c r="P67" s="42"/>
      <c r="Q67" s="42"/>
      <c r="R67" s="42"/>
      <c r="S67" s="42"/>
      <c r="T67" s="42"/>
      <c r="U67" s="42"/>
      <c r="V67" s="42"/>
      <c r="W67" s="42"/>
      <c r="X67" s="81"/>
    </row>
    <row r="68" spans="2:24" x14ac:dyDescent="0.25">
      <c r="B68" s="79"/>
      <c r="C68" s="42"/>
      <c r="D68" s="42"/>
      <c r="E68" s="42"/>
      <c r="F68" s="42"/>
      <c r="G68" s="42"/>
      <c r="H68" s="42"/>
      <c r="I68" s="42"/>
      <c r="J68" s="190"/>
      <c r="K68" s="42"/>
      <c r="L68" s="42"/>
      <c r="M68" s="81"/>
      <c r="O68" s="79"/>
      <c r="P68" s="42"/>
      <c r="Q68" s="42"/>
      <c r="R68" s="42"/>
      <c r="S68" s="42"/>
      <c r="T68" s="42"/>
      <c r="U68" s="42"/>
      <c r="V68" s="42"/>
      <c r="W68" s="42"/>
      <c r="X68" s="81"/>
    </row>
    <row r="69" spans="2:24" x14ac:dyDescent="0.25">
      <c r="B69" s="79"/>
      <c r="C69" s="42"/>
      <c r="D69" s="42"/>
      <c r="E69" s="42"/>
      <c r="F69" s="42"/>
      <c r="G69" s="42"/>
      <c r="H69" s="42"/>
      <c r="I69" s="42"/>
      <c r="J69" s="190"/>
      <c r="K69" s="42"/>
      <c r="L69" s="42"/>
      <c r="M69" s="81"/>
      <c r="O69" s="79"/>
      <c r="P69" s="42"/>
      <c r="Q69" s="42"/>
      <c r="R69" s="42"/>
      <c r="S69" s="42"/>
      <c r="T69" s="42"/>
      <c r="U69" s="42"/>
      <c r="V69" s="42"/>
      <c r="W69" s="42"/>
      <c r="X69" s="81"/>
    </row>
    <row r="70" spans="2:24" x14ac:dyDescent="0.25">
      <c r="B70" s="79"/>
      <c r="C70" s="42"/>
      <c r="D70" s="42"/>
      <c r="E70" s="42"/>
      <c r="F70" s="42"/>
      <c r="G70" s="42"/>
      <c r="H70" s="42"/>
      <c r="I70" s="42"/>
      <c r="J70" s="190"/>
      <c r="K70" s="42"/>
      <c r="L70" s="42"/>
      <c r="M70" s="81"/>
      <c r="O70" s="79"/>
      <c r="P70" s="42"/>
      <c r="Q70" s="42"/>
      <c r="R70" s="42"/>
      <c r="S70" s="42"/>
      <c r="T70" s="42"/>
      <c r="U70" s="42"/>
      <c r="V70" s="42"/>
      <c r="W70" s="42"/>
      <c r="X70" s="81"/>
    </row>
    <row r="71" spans="2:24" ht="15.75" thickBot="1" x14ac:dyDescent="0.3">
      <c r="B71" s="83"/>
      <c r="C71" s="84"/>
      <c r="D71" s="84"/>
      <c r="E71" s="84"/>
      <c r="F71" s="84"/>
      <c r="G71" s="84"/>
      <c r="H71" s="84"/>
      <c r="I71" s="84"/>
      <c r="J71" s="85"/>
      <c r="K71" s="84"/>
      <c r="L71" s="84"/>
      <c r="M71" s="82"/>
      <c r="O71" s="83"/>
      <c r="P71" s="84"/>
      <c r="Q71" s="84"/>
      <c r="R71" s="84"/>
      <c r="S71" s="84"/>
      <c r="T71" s="84"/>
      <c r="U71" s="84"/>
      <c r="V71" s="84"/>
      <c r="W71" s="84"/>
      <c r="X71" s="82"/>
    </row>
    <row r="72" spans="2:24" ht="15.75" thickBot="1" x14ac:dyDescent="0.3"/>
    <row r="73" spans="2:24" x14ac:dyDescent="0.25">
      <c r="B73" s="360" t="s">
        <v>664</v>
      </c>
      <c r="C73" s="358"/>
      <c r="D73" s="358"/>
      <c r="E73" s="358"/>
      <c r="F73" s="358"/>
      <c r="G73" s="358"/>
      <c r="H73" s="358"/>
      <c r="I73" s="358"/>
      <c r="J73" s="358"/>
      <c r="K73" s="358"/>
      <c r="L73" s="358"/>
      <c r="M73" s="361"/>
      <c r="O73" s="360" t="s">
        <v>669</v>
      </c>
      <c r="P73" s="358"/>
      <c r="Q73" s="358"/>
      <c r="R73" s="358"/>
      <c r="S73" s="358"/>
      <c r="T73" s="358"/>
      <c r="U73" s="358"/>
      <c r="V73" s="358"/>
      <c r="W73" s="358"/>
      <c r="X73" s="361"/>
    </row>
    <row r="74" spans="2:24" x14ac:dyDescent="0.25">
      <c r="B74" s="79"/>
      <c r="C74" s="42"/>
      <c r="D74" s="42"/>
      <c r="E74" s="42"/>
      <c r="F74" s="42"/>
      <c r="G74" s="42"/>
      <c r="H74" s="42"/>
      <c r="I74" s="42"/>
      <c r="J74" s="190"/>
      <c r="K74" s="42"/>
      <c r="L74" s="42"/>
      <c r="M74" s="81"/>
      <c r="O74" s="79"/>
      <c r="P74" s="42"/>
      <c r="Q74" s="42"/>
      <c r="R74" s="42"/>
      <c r="S74" s="42"/>
      <c r="T74" s="42"/>
      <c r="U74" s="42"/>
      <c r="V74" s="42"/>
      <c r="W74" s="42"/>
      <c r="X74" s="81"/>
    </row>
    <row r="75" spans="2:24" x14ac:dyDescent="0.25">
      <c r="B75" s="79"/>
      <c r="C75" s="42"/>
      <c r="D75" s="42"/>
      <c r="E75" s="42"/>
      <c r="F75" s="42"/>
      <c r="G75" s="42"/>
      <c r="H75" s="42"/>
      <c r="I75" s="42"/>
      <c r="J75" s="190"/>
      <c r="K75" s="42"/>
      <c r="L75" s="42"/>
      <c r="M75" s="81"/>
      <c r="O75" s="79"/>
      <c r="P75" s="42"/>
      <c r="Q75" s="42"/>
      <c r="R75" s="42"/>
      <c r="S75" s="42"/>
      <c r="T75" s="42"/>
      <c r="U75" s="42"/>
      <c r="V75" s="42"/>
      <c r="W75" s="42"/>
      <c r="X75" s="81"/>
    </row>
    <row r="76" spans="2:24" x14ac:dyDescent="0.25">
      <c r="B76" s="79"/>
      <c r="C76" s="42"/>
      <c r="D76" s="42"/>
      <c r="E76" s="42"/>
      <c r="F76" s="42"/>
      <c r="G76" s="42"/>
      <c r="H76" s="42"/>
      <c r="I76" s="42"/>
      <c r="J76" s="190"/>
      <c r="K76" s="42"/>
      <c r="L76" s="42"/>
      <c r="M76" s="81"/>
      <c r="O76" s="79"/>
      <c r="P76" s="42"/>
      <c r="Q76" s="42"/>
      <c r="R76" s="42"/>
      <c r="S76" s="42"/>
      <c r="T76" s="42"/>
      <c r="U76" s="42"/>
      <c r="V76" s="42"/>
      <c r="W76" s="42"/>
      <c r="X76" s="81"/>
    </row>
    <row r="77" spans="2:24" x14ac:dyDescent="0.25">
      <c r="B77" s="79"/>
      <c r="C77" s="42"/>
      <c r="D77" s="42"/>
      <c r="E77" s="42"/>
      <c r="F77" s="42"/>
      <c r="G77" s="42"/>
      <c r="H77" s="42"/>
      <c r="I77" s="42"/>
      <c r="J77" s="190"/>
      <c r="K77" s="42"/>
      <c r="L77" s="42"/>
      <c r="M77" s="81"/>
      <c r="O77" s="79"/>
      <c r="P77" s="42"/>
      <c r="Q77" s="42"/>
      <c r="R77" s="42"/>
      <c r="S77" s="42"/>
      <c r="T77" s="42"/>
      <c r="U77" s="42"/>
      <c r="V77" s="42"/>
      <c r="W77" s="42"/>
      <c r="X77" s="81"/>
    </row>
    <row r="78" spans="2:24" x14ac:dyDescent="0.25">
      <c r="B78" s="79"/>
      <c r="C78" s="42"/>
      <c r="D78" s="42"/>
      <c r="E78" s="42"/>
      <c r="F78" s="42"/>
      <c r="G78" s="42"/>
      <c r="H78" s="42"/>
      <c r="I78" s="42"/>
      <c r="J78" s="190"/>
      <c r="K78" s="42"/>
      <c r="L78" s="42"/>
      <c r="M78" s="81"/>
      <c r="O78" s="79"/>
      <c r="P78" s="42"/>
      <c r="Q78" s="42"/>
      <c r="R78" s="42"/>
      <c r="S78" s="42"/>
      <c r="T78" s="42"/>
      <c r="U78" s="42"/>
      <c r="V78" s="42"/>
      <c r="W78" s="42"/>
      <c r="X78" s="81"/>
    </row>
    <row r="79" spans="2:24" x14ac:dyDescent="0.25">
      <c r="B79" s="79"/>
      <c r="C79" s="42"/>
      <c r="D79" s="42"/>
      <c r="E79" s="42"/>
      <c r="F79" s="42"/>
      <c r="G79" s="42"/>
      <c r="H79" s="42"/>
      <c r="I79" s="42"/>
      <c r="J79" s="190"/>
      <c r="K79" s="42"/>
      <c r="L79" s="42"/>
      <c r="M79" s="81"/>
      <c r="O79" s="79"/>
      <c r="P79" s="42"/>
      <c r="Q79" s="42"/>
      <c r="R79" s="42"/>
      <c r="S79" s="42"/>
      <c r="T79" s="42"/>
      <c r="U79" s="42"/>
      <c r="V79" s="42"/>
      <c r="W79" s="42"/>
      <c r="X79" s="81"/>
    </row>
    <row r="80" spans="2:24" x14ac:dyDescent="0.25">
      <c r="B80" s="79"/>
      <c r="C80" s="42"/>
      <c r="D80" s="42"/>
      <c r="E80" s="42"/>
      <c r="F80" s="42"/>
      <c r="G80" s="42"/>
      <c r="H80" s="42"/>
      <c r="I80" s="42"/>
      <c r="J80" s="190"/>
      <c r="K80" s="42"/>
      <c r="L80" s="42"/>
      <c r="M80" s="81"/>
      <c r="O80" s="79"/>
      <c r="P80" s="42"/>
      <c r="Q80" s="42"/>
      <c r="R80" s="42"/>
      <c r="S80" s="42"/>
      <c r="T80" s="42"/>
      <c r="U80" s="42"/>
      <c r="V80" s="42"/>
      <c r="W80" s="42"/>
      <c r="X80" s="81"/>
    </row>
    <row r="81" spans="2:24" x14ac:dyDescent="0.25">
      <c r="B81" s="79"/>
      <c r="C81" s="42"/>
      <c r="D81" s="42"/>
      <c r="E81" s="42"/>
      <c r="F81" s="42"/>
      <c r="G81" s="42"/>
      <c r="H81" s="42"/>
      <c r="I81" s="42"/>
      <c r="J81" s="190"/>
      <c r="K81" s="42"/>
      <c r="L81" s="42"/>
      <c r="M81" s="81"/>
      <c r="O81" s="79"/>
      <c r="P81" s="42"/>
      <c r="Q81" s="42"/>
      <c r="R81" s="42"/>
      <c r="S81" s="42"/>
      <c r="T81" s="42"/>
      <c r="U81" s="42"/>
      <c r="V81" s="42"/>
      <c r="W81" s="42"/>
      <c r="X81" s="81"/>
    </row>
    <row r="82" spans="2:24" x14ac:dyDescent="0.25">
      <c r="B82" s="79"/>
      <c r="C82" s="42"/>
      <c r="D82" s="42"/>
      <c r="E82" s="42"/>
      <c r="F82" s="42"/>
      <c r="G82" s="42"/>
      <c r="H82" s="42"/>
      <c r="I82" s="42"/>
      <c r="J82" s="190"/>
      <c r="K82" s="42"/>
      <c r="L82" s="42"/>
      <c r="M82" s="81"/>
      <c r="O82" s="79"/>
      <c r="P82" s="42"/>
      <c r="Q82" s="42"/>
      <c r="R82" s="42"/>
      <c r="S82" s="42"/>
      <c r="T82" s="42"/>
      <c r="U82" s="42"/>
      <c r="V82" s="42"/>
      <c r="W82" s="42"/>
      <c r="X82" s="81"/>
    </row>
    <row r="83" spans="2:24" x14ac:dyDescent="0.25">
      <c r="B83" s="79"/>
      <c r="C83" s="42"/>
      <c r="D83" s="42"/>
      <c r="E83" s="42"/>
      <c r="F83" s="42"/>
      <c r="G83" s="42"/>
      <c r="H83" s="42"/>
      <c r="I83" s="42"/>
      <c r="J83" s="190"/>
      <c r="K83" s="42"/>
      <c r="L83" s="42"/>
      <c r="M83" s="81"/>
      <c r="O83" s="79"/>
      <c r="P83" s="42"/>
      <c r="Q83" s="42"/>
      <c r="R83" s="42"/>
      <c r="S83" s="42"/>
      <c r="T83" s="42"/>
      <c r="U83" s="42"/>
      <c r="V83" s="42"/>
      <c r="W83" s="42"/>
      <c r="X83" s="81"/>
    </row>
    <row r="84" spans="2:24" x14ac:dyDescent="0.25">
      <c r="B84" s="79"/>
      <c r="C84" s="42"/>
      <c r="D84" s="42"/>
      <c r="E84" s="42"/>
      <c r="F84" s="42"/>
      <c r="G84" s="42"/>
      <c r="H84" s="42"/>
      <c r="I84" s="42"/>
      <c r="J84" s="190"/>
      <c r="K84" s="42"/>
      <c r="L84" s="42"/>
      <c r="M84" s="81"/>
      <c r="O84" s="79"/>
      <c r="P84" s="42"/>
      <c r="Q84" s="42"/>
      <c r="R84" s="42"/>
      <c r="S84" s="42"/>
      <c r="T84" s="42"/>
      <c r="U84" s="42"/>
      <c r="V84" s="42"/>
      <c r="W84" s="42"/>
      <c r="X84" s="81"/>
    </row>
    <row r="85" spans="2:24" x14ac:dyDescent="0.25">
      <c r="B85" s="79"/>
      <c r="C85" s="42"/>
      <c r="D85" s="42"/>
      <c r="E85" s="42"/>
      <c r="F85" s="42"/>
      <c r="G85" s="42"/>
      <c r="H85" s="42"/>
      <c r="I85" s="42"/>
      <c r="J85" s="190"/>
      <c r="K85" s="42"/>
      <c r="L85" s="42"/>
      <c r="M85" s="81"/>
      <c r="O85" s="79"/>
      <c r="P85" s="42"/>
      <c r="Q85" s="42"/>
      <c r="R85" s="42"/>
      <c r="S85" s="42"/>
      <c r="T85" s="42"/>
      <c r="U85" s="42"/>
      <c r="V85" s="42"/>
      <c r="W85" s="42"/>
      <c r="X85" s="81"/>
    </row>
    <row r="86" spans="2:24" x14ac:dyDescent="0.25">
      <c r="B86" s="79"/>
      <c r="C86" s="42"/>
      <c r="D86" s="42"/>
      <c r="E86" s="42"/>
      <c r="F86" s="42"/>
      <c r="G86" s="42"/>
      <c r="H86" s="42"/>
      <c r="I86" s="42"/>
      <c r="J86" s="190"/>
      <c r="K86" s="42"/>
      <c r="L86" s="42"/>
      <c r="M86" s="81"/>
      <c r="O86" s="79"/>
      <c r="P86" s="42"/>
      <c r="Q86" s="42"/>
      <c r="R86" s="42"/>
      <c r="S86" s="42"/>
      <c r="T86" s="42"/>
      <c r="U86" s="42"/>
      <c r="V86" s="42"/>
      <c r="W86" s="42"/>
      <c r="X86" s="81"/>
    </row>
    <row r="87" spans="2:24" x14ac:dyDescent="0.25">
      <c r="B87" s="79"/>
      <c r="C87" s="42"/>
      <c r="D87" s="42"/>
      <c r="E87" s="42"/>
      <c r="F87" s="42"/>
      <c r="G87" s="42"/>
      <c r="H87" s="42"/>
      <c r="I87" s="42"/>
      <c r="J87" s="190"/>
      <c r="K87" s="42"/>
      <c r="L87" s="42"/>
      <c r="M87" s="81"/>
      <c r="O87" s="79"/>
      <c r="P87" s="42"/>
      <c r="Q87" s="42"/>
      <c r="R87" s="42"/>
      <c r="S87" s="42"/>
      <c r="T87" s="42"/>
      <c r="U87" s="42"/>
      <c r="V87" s="42"/>
      <c r="W87" s="42"/>
      <c r="X87" s="81"/>
    </row>
    <row r="88" spans="2:24" ht="15.75" thickBot="1" x14ac:dyDescent="0.3">
      <c r="B88" s="83"/>
      <c r="C88" s="84"/>
      <c r="D88" s="84"/>
      <c r="E88" s="84"/>
      <c r="F88" s="84"/>
      <c r="G88" s="84"/>
      <c r="H88" s="84"/>
      <c r="I88" s="84"/>
      <c r="J88" s="85"/>
      <c r="K88" s="84"/>
      <c r="L88" s="84"/>
      <c r="M88" s="82"/>
      <c r="O88" s="83"/>
      <c r="P88" s="84"/>
      <c r="Q88" s="84"/>
      <c r="R88" s="84"/>
      <c r="S88" s="84"/>
      <c r="T88" s="84"/>
      <c r="U88" s="84"/>
      <c r="V88" s="84"/>
      <c r="W88" s="84"/>
      <c r="X88" s="82"/>
    </row>
    <row r="89" spans="2:24" ht="15.75" thickBot="1" x14ac:dyDescent="0.3"/>
    <row r="90" spans="2:24" x14ac:dyDescent="0.25">
      <c r="B90" s="77"/>
      <c r="C90" s="358" t="s">
        <v>157</v>
      </c>
      <c r="D90" s="358"/>
      <c r="E90" s="358"/>
      <c r="F90" s="358"/>
      <c r="G90" s="358"/>
      <c r="H90" s="358"/>
      <c r="I90" s="358"/>
      <c r="J90" s="358"/>
      <c r="K90" s="358"/>
      <c r="L90" s="358"/>
      <c r="M90" s="358"/>
      <c r="N90" s="358"/>
      <c r="O90" s="358"/>
      <c r="P90" s="358"/>
      <c r="Q90" s="358"/>
      <c r="R90" s="358"/>
      <c r="S90" s="358"/>
      <c r="T90" s="358"/>
      <c r="U90" s="358"/>
      <c r="V90" s="358"/>
      <c r="W90" s="358"/>
      <c r="X90" s="78"/>
    </row>
    <row r="91" spans="2:24" x14ac:dyDescent="0.25">
      <c r="B91" s="79"/>
      <c r="C91" s="359" t="s">
        <v>181</v>
      </c>
      <c r="D91" s="359"/>
      <c r="E91" s="359"/>
      <c r="F91" s="359"/>
      <c r="G91" s="359"/>
      <c r="H91" s="359"/>
      <c r="I91" s="359"/>
      <c r="J91" s="359"/>
      <c r="K91" s="359"/>
      <c r="L91" s="359"/>
      <c r="M91" s="359" t="s">
        <v>182</v>
      </c>
      <c r="N91" s="359"/>
      <c r="O91" s="359"/>
      <c r="P91" s="359"/>
      <c r="Q91" s="359"/>
      <c r="R91" s="359"/>
      <c r="S91" s="359"/>
      <c r="T91" s="359"/>
      <c r="U91" s="359"/>
      <c r="V91" s="359"/>
      <c r="W91" s="359"/>
      <c r="X91" s="81"/>
    </row>
    <row r="92" spans="2:24" x14ac:dyDescent="0.25">
      <c r="B92" s="79"/>
      <c r="C92" s="80"/>
      <c r="D92" s="80"/>
      <c r="E92" s="80"/>
      <c r="F92" s="80"/>
      <c r="G92" s="80"/>
      <c r="H92" s="80"/>
      <c r="I92" s="80"/>
      <c r="J92" s="86"/>
      <c r="K92" s="80"/>
      <c r="L92" s="80"/>
      <c r="M92" s="80"/>
      <c r="N92" s="80"/>
      <c r="O92" s="80"/>
      <c r="P92" s="80"/>
      <c r="Q92" s="80"/>
      <c r="R92" s="80"/>
      <c r="S92" s="80"/>
      <c r="T92" s="80"/>
      <c r="U92" s="80"/>
      <c r="V92" s="80"/>
      <c r="W92" s="80"/>
      <c r="X92" s="81"/>
    </row>
    <row r="93" spans="2:24" x14ac:dyDescent="0.25">
      <c r="B93" s="79"/>
      <c r="C93" s="80"/>
      <c r="D93" s="80"/>
      <c r="E93" s="80"/>
      <c r="F93" s="80"/>
      <c r="G93" s="80"/>
      <c r="H93" s="80"/>
      <c r="I93" s="80"/>
      <c r="J93" s="86"/>
      <c r="K93" s="80"/>
      <c r="L93" s="80"/>
      <c r="M93" s="80"/>
      <c r="N93" s="80"/>
      <c r="O93" s="80"/>
      <c r="P93" s="80"/>
      <c r="Q93" s="80"/>
      <c r="R93" s="80"/>
      <c r="S93" s="80"/>
      <c r="T93" s="80"/>
      <c r="U93" s="80"/>
      <c r="V93" s="80"/>
      <c r="W93" s="80"/>
      <c r="X93" s="81"/>
    </row>
    <row r="94" spans="2:24" x14ac:dyDescent="0.25">
      <c r="B94" s="79"/>
      <c r="C94" s="80"/>
      <c r="D94" s="80"/>
      <c r="E94" s="80"/>
      <c r="F94" s="80"/>
      <c r="G94" s="80"/>
      <c r="H94" s="80"/>
      <c r="I94" s="80"/>
      <c r="J94" s="86"/>
      <c r="K94" s="80"/>
      <c r="L94" s="80"/>
      <c r="M94" s="80"/>
      <c r="N94" s="80"/>
      <c r="O94" s="80"/>
      <c r="P94" s="80"/>
      <c r="Q94" s="80"/>
      <c r="R94" s="80"/>
      <c r="S94" s="80"/>
      <c r="T94" s="80"/>
      <c r="U94" s="80"/>
      <c r="V94" s="80"/>
      <c r="W94" s="80"/>
      <c r="X94" s="81"/>
    </row>
    <row r="95" spans="2:24" x14ac:dyDescent="0.25">
      <c r="B95" s="79"/>
      <c r="C95" s="80"/>
      <c r="D95" s="80"/>
      <c r="E95" s="80"/>
      <c r="F95" s="80"/>
      <c r="G95" s="80"/>
      <c r="H95" s="80"/>
      <c r="I95" s="80"/>
      <c r="J95" s="86"/>
      <c r="K95" s="80"/>
      <c r="L95" s="80"/>
      <c r="M95" s="80"/>
      <c r="N95" s="80"/>
      <c r="O95" s="80"/>
      <c r="P95" s="80"/>
      <c r="Q95" s="80"/>
      <c r="R95" s="80"/>
      <c r="S95" s="80"/>
      <c r="T95" s="80"/>
      <c r="U95" s="80"/>
      <c r="V95" s="80"/>
      <c r="W95" s="80"/>
      <c r="X95" s="81"/>
    </row>
    <row r="96" spans="2:24" ht="15.75" customHeight="1" x14ac:dyDescent="0.25">
      <c r="B96" s="79"/>
      <c r="C96" s="80"/>
      <c r="D96" s="80"/>
      <c r="E96" s="80"/>
      <c r="F96" s="80"/>
      <c r="G96" s="80"/>
      <c r="H96" s="80"/>
      <c r="I96" s="80"/>
      <c r="J96" s="86"/>
      <c r="K96" s="80"/>
      <c r="L96" s="80"/>
      <c r="M96" s="80"/>
      <c r="N96" s="80"/>
      <c r="O96" s="80"/>
      <c r="P96" s="80"/>
      <c r="Q96" s="80"/>
      <c r="R96" s="80"/>
      <c r="S96" s="80"/>
      <c r="T96" s="80"/>
      <c r="U96" s="80"/>
      <c r="V96" s="80"/>
      <c r="W96" s="80"/>
      <c r="X96" s="81"/>
    </row>
    <row r="97" spans="2:24" ht="15.75" customHeight="1" x14ac:dyDescent="0.25">
      <c r="B97" s="79"/>
      <c r="C97" s="80"/>
      <c r="D97" s="80"/>
      <c r="E97" s="80"/>
      <c r="F97" s="80"/>
      <c r="G97" s="80"/>
      <c r="H97" s="80"/>
      <c r="I97" s="80"/>
      <c r="J97" s="86"/>
      <c r="K97" s="80"/>
      <c r="L97" s="80"/>
      <c r="M97" s="80"/>
      <c r="N97" s="80"/>
      <c r="O97" s="80"/>
      <c r="P97" s="80"/>
      <c r="Q97" s="80"/>
      <c r="R97" s="80"/>
      <c r="S97" s="80"/>
      <c r="T97" s="80"/>
      <c r="U97" s="80"/>
      <c r="V97" s="80"/>
      <c r="W97" s="80"/>
      <c r="X97" s="81"/>
    </row>
    <row r="98" spans="2:24" x14ac:dyDescent="0.25">
      <c r="B98" s="79"/>
      <c r="C98" s="80"/>
      <c r="D98" s="80"/>
      <c r="E98" s="80"/>
      <c r="F98" s="80"/>
      <c r="G98" s="80"/>
      <c r="H98" s="80"/>
      <c r="I98" s="80"/>
      <c r="J98" s="86"/>
      <c r="K98" s="80"/>
      <c r="L98" s="80"/>
      <c r="M98" s="80"/>
      <c r="N98" s="80"/>
      <c r="O98" s="80"/>
      <c r="P98" s="80"/>
      <c r="Q98" s="80"/>
      <c r="R98" s="80"/>
      <c r="S98" s="80"/>
      <c r="T98" s="80"/>
      <c r="U98" s="80"/>
      <c r="V98" s="80"/>
      <c r="W98" s="80"/>
      <c r="X98" s="81"/>
    </row>
    <row r="99" spans="2:24" x14ac:dyDescent="0.25">
      <c r="B99" s="79"/>
      <c r="C99" s="80"/>
      <c r="D99" s="80"/>
      <c r="E99" s="80"/>
      <c r="F99" s="80"/>
      <c r="G99" s="80"/>
      <c r="H99" s="80"/>
      <c r="I99" s="80"/>
      <c r="J99" s="86"/>
      <c r="K99" s="80"/>
      <c r="L99" s="80"/>
      <c r="M99" s="80"/>
      <c r="N99" s="80"/>
      <c r="O99" s="80"/>
      <c r="P99" s="80"/>
      <c r="Q99" s="80"/>
      <c r="R99" s="80"/>
      <c r="S99" s="80"/>
      <c r="T99" s="80"/>
      <c r="U99" s="80"/>
      <c r="V99" s="80"/>
      <c r="W99" s="80"/>
      <c r="X99" s="81"/>
    </row>
    <row r="100" spans="2:24" x14ac:dyDescent="0.25">
      <c r="B100" s="79"/>
      <c r="C100" s="80"/>
      <c r="D100" s="80"/>
      <c r="E100" s="80"/>
      <c r="F100" s="80"/>
      <c r="G100" s="80"/>
      <c r="H100" s="80"/>
      <c r="I100" s="80"/>
      <c r="J100" s="86"/>
      <c r="K100" s="80"/>
      <c r="L100" s="80"/>
      <c r="M100" s="80"/>
      <c r="N100" s="80"/>
      <c r="O100" s="80"/>
      <c r="P100" s="80"/>
      <c r="Q100" s="80"/>
      <c r="R100" s="80"/>
      <c r="S100" s="80"/>
      <c r="T100" s="80"/>
      <c r="U100" s="80"/>
      <c r="V100" s="80"/>
      <c r="W100" s="80"/>
      <c r="X100" s="81"/>
    </row>
    <row r="101" spans="2:24" x14ac:dyDescent="0.25">
      <c r="B101" s="79"/>
      <c r="C101" s="80"/>
      <c r="D101" s="80"/>
      <c r="E101" s="80"/>
      <c r="F101" s="80"/>
      <c r="G101" s="80"/>
      <c r="H101" s="80"/>
      <c r="I101" s="80"/>
      <c r="J101" s="86"/>
      <c r="K101" s="80"/>
      <c r="L101" s="80"/>
      <c r="M101" s="80"/>
      <c r="N101" s="80"/>
      <c r="O101" s="80"/>
      <c r="P101" s="80"/>
      <c r="Q101" s="80"/>
      <c r="R101" s="80"/>
      <c r="S101" s="80"/>
      <c r="T101" s="80"/>
      <c r="U101" s="80"/>
      <c r="V101" s="80"/>
      <c r="W101" s="80"/>
      <c r="X101" s="81"/>
    </row>
    <row r="102" spans="2:24" x14ac:dyDescent="0.25">
      <c r="B102" s="79"/>
      <c r="C102" s="80"/>
      <c r="D102" s="80"/>
      <c r="E102" s="80"/>
      <c r="F102" s="80"/>
      <c r="G102" s="80"/>
      <c r="H102" s="80"/>
      <c r="I102" s="80"/>
      <c r="J102" s="86"/>
      <c r="K102" s="80"/>
      <c r="L102" s="80"/>
      <c r="M102" s="80"/>
      <c r="N102" s="80"/>
      <c r="O102" s="80"/>
      <c r="P102" s="80"/>
      <c r="Q102" s="80"/>
      <c r="R102" s="80"/>
      <c r="S102" s="80"/>
      <c r="T102" s="80"/>
      <c r="U102" s="80"/>
      <c r="V102" s="80"/>
      <c r="W102" s="80"/>
      <c r="X102" s="81"/>
    </row>
    <row r="103" spans="2:24" x14ac:dyDescent="0.25">
      <c r="B103" s="79"/>
      <c r="C103" s="80"/>
      <c r="D103" s="80"/>
      <c r="E103" s="80"/>
      <c r="F103" s="80"/>
      <c r="G103" s="80"/>
      <c r="H103" s="80"/>
      <c r="I103" s="80"/>
      <c r="J103" s="86"/>
      <c r="K103" s="80"/>
      <c r="L103" s="80"/>
      <c r="M103" s="80"/>
      <c r="N103" s="80"/>
      <c r="O103" s="80"/>
      <c r="P103" s="80"/>
      <c r="Q103" s="80"/>
      <c r="R103" s="80"/>
      <c r="S103" s="80"/>
      <c r="T103" s="80"/>
      <c r="U103" s="80"/>
      <c r="V103" s="80"/>
      <c r="W103" s="80"/>
      <c r="X103" s="81"/>
    </row>
    <row r="104" spans="2:24" x14ac:dyDescent="0.25">
      <c r="B104" s="79"/>
      <c r="C104" s="80"/>
      <c r="D104" s="80"/>
      <c r="E104" s="80"/>
      <c r="F104" s="80"/>
      <c r="G104" s="80"/>
      <c r="H104" s="80"/>
      <c r="I104" s="80"/>
      <c r="J104" s="86"/>
      <c r="K104" s="80"/>
      <c r="L104" s="80"/>
      <c r="M104" s="80"/>
      <c r="N104" s="80"/>
      <c r="O104" s="80"/>
      <c r="P104" s="80"/>
      <c r="Q104" s="80"/>
      <c r="R104" s="80"/>
      <c r="S104" s="80"/>
      <c r="T104" s="80"/>
      <c r="U104" s="80"/>
      <c r="V104" s="80"/>
      <c r="W104" s="80"/>
      <c r="X104" s="81"/>
    </row>
    <row r="105" spans="2:24" x14ac:dyDescent="0.25">
      <c r="B105" s="79"/>
      <c r="C105" s="80"/>
      <c r="D105" s="80"/>
      <c r="E105" s="80"/>
      <c r="F105" s="80"/>
      <c r="G105" s="80"/>
      <c r="H105" s="80"/>
      <c r="I105" s="80"/>
      <c r="J105" s="86"/>
      <c r="K105" s="80"/>
      <c r="L105" s="80"/>
      <c r="M105" s="80"/>
      <c r="N105" s="80"/>
      <c r="O105" s="80"/>
      <c r="P105" s="80"/>
      <c r="Q105" s="80"/>
      <c r="R105" s="80"/>
      <c r="S105" s="80"/>
      <c r="T105" s="80"/>
      <c r="U105" s="80"/>
      <c r="V105" s="80"/>
      <c r="W105" s="80"/>
      <c r="X105" s="81"/>
    </row>
    <row r="106" spans="2:24" x14ac:dyDescent="0.25">
      <c r="B106" s="79"/>
      <c r="C106" s="80"/>
      <c r="D106" s="80"/>
      <c r="E106" s="80"/>
      <c r="F106" s="80"/>
      <c r="G106" s="80"/>
      <c r="H106" s="80"/>
      <c r="I106" s="80"/>
      <c r="J106" s="86"/>
      <c r="K106" s="80"/>
      <c r="L106" s="80"/>
      <c r="M106" s="80"/>
      <c r="N106" s="80"/>
      <c r="O106" s="80"/>
      <c r="P106" s="80"/>
      <c r="Q106" s="80"/>
      <c r="R106" s="80"/>
      <c r="S106" s="80"/>
      <c r="T106" s="80"/>
      <c r="U106" s="80"/>
      <c r="V106" s="80"/>
      <c r="W106" s="80"/>
      <c r="X106" s="81"/>
    </row>
    <row r="107" spans="2:24" x14ac:dyDescent="0.25">
      <c r="B107" s="79"/>
      <c r="C107" s="80"/>
      <c r="D107" s="80"/>
      <c r="E107" s="80"/>
      <c r="F107" s="80"/>
      <c r="G107" s="80"/>
      <c r="H107" s="80"/>
      <c r="I107" s="80"/>
      <c r="J107" s="86"/>
      <c r="K107" s="80"/>
      <c r="L107" s="80"/>
      <c r="M107" s="80"/>
      <c r="N107" s="80"/>
      <c r="O107" s="80"/>
      <c r="P107" s="80"/>
      <c r="Q107" s="80"/>
      <c r="R107" s="80"/>
      <c r="S107" s="80"/>
      <c r="T107" s="80"/>
      <c r="U107" s="80"/>
      <c r="V107" s="80"/>
      <c r="W107" s="80"/>
      <c r="X107" s="81"/>
    </row>
    <row r="108" spans="2:24" x14ac:dyDescent="0.25">
      <c r="B108" s="79"/>
      <c r="C108" s="80"/>
      <c r="D108" s="80"/>
      <c r="E108" s="80"/>
      <c r="F108" s="80"/>
      <c r="G108" s="80"/>
      <c r="H108" s="80"/>
      <c r="I108" s="80"/>
      <c r="J108" s="86"/>
      <c r="K108" s="80"/>
      <c r="L108" s="80"/>
      <c r="M108" s="80"/>
      <c r="N108" s="80"/>
      <c r="O108" s="80"/>
      <c r="P108" s="80"/>
      <c r="Q108" s="80"/>
      <c r="R108" s="80"/>
      <c r="S108" s="80"/>
      <c r="T108" s="80"/>
      <c r="U108" s="80"/>
      <c r="V108" s="80"/>
      <c r="W108" s="80"/>
      <c r="X108" s="81"/>
    </row>
    <row r="109" spans="2:24" x14ac:dyDescent="0.25">
      <c r="B109" s="79"/>
      <c r="C109" s="80"/>
      <c r="D109" s="80"/>
      <c r="E109" s="80"/>
      <c r="F109" s="80"/>
      <c r="G109" s="80"/>
      <c r="H109" s="80"/>
      <c r="I109" s="80"/>
      <c r="J109" s="86"/>
      <c r="K109" s="80"/>
      <c r="L109" s="80"/>
      <c r="M109" s="80"/>
      <c r="N109" s="80"/>
      <c r="O109" s="80"/>
      <c r="P109" s="80"/>
      <c r="Q109" s="80"/>
      <c r="R109" s="80"/>
      <c r="S109" s="80"/>
      <c r="T109" s="80"/>
      <c r="U109" s="80"/>
      <c r="V109" s="80"/>
      <c r="W109" s="80"/>
      <c r="X109" s="81"/>
    </row>
    <row r="110" spans="2:24" ht="15.75" thickBot="1" x14ac:dyDescent="0.3">
      <c r="B110" s="83"/>
      <c r="C110" s="84"/>
      <c r="D110" s="84"/>
      <c r="E110" s="84"/>
      <c r="F110" s="84"/>
      <c r="G110" s="84"/>
      <c r="H110" s="84"/>
      <c r="I110" s="84"/>
      <c r="J110" s="85"/>
      <c r="K110" s="84"/>
      <c r="L110" s="84"/>
      <c r="M110" s="84"/>
      <c r="N110" s="84"/>
      <c r="O110" s="84"/>
      <c r="P110" s="84"/>
      <c r="Q110" s="84"/>
      <c r="R110" s="84"/>
      <c r="S110" s="84"/>
      <c r="T110" s="84"/>
      <c r="U110" s="84"/>
      <c r="V110" s="84"/>
      <c r="W110" s="84"/>
      <c r="X110" s="82"/>
    </row>
  </sheetData>
  <mergeCells count="76">
    <mergeCell ref="C39:D39"/>
    <mergeCell ref="E39:F39"/>
    <mergeCell ref="C46:F46"/>
    <mergeCell ref="C47:D47"/>
    <mergeCell ref="E47:F47"/>
    <mergeCell ref="C40:D40"/>
    <mergeCell ref="E40:F40"/>
    <mergeCell ref="C41:D41"/>
    <mergeCell ref="E41:F41"/>
    <mergeCell ref="C42:D42"/>
    <mergeCell ref="E42:F42"/>
    <mergeCell ref="O4:X4"/>
    <mergeCell ref="B2:X2"/>
    <mergeCell ref="R22:S22"/>
    <mergeCell ref="R23:S23"/>
    <mergeCell ref="C6:G6"/>
    <mergeCell ref="C13:G13"/>
    <mergeCell ref="C20:G20"/>
    <mergeCell ref="C4:L4"/>
    <mergeCell ref="R24:S24"/>
    <mergeCell ref="R21:S21"/>
    <mergeCell ref="R25:S25"/>
    <mergeCell ref="R26:S26"/>
    <mergeCell ref="R27:S27"/>
    <mergeCell ref="R39:S39"/>
    <mergeCell ref="R40:S40"/>
    <mergeCell ref="R29:S29"/>
    <mergeCell ref="R30:S30"/>
    <mergeCell ref="R31:S31"/>
    <mergeCell ref="R32:S32"/>
    <mergeCell ref="R33:S33"/>
    <mergeCell ref="R34:S34"/>
    <mergeCell ref="B28:M28"/>
    <mergeCell ref="R35:S35"/>
    <mergeCell ref="R36:S36"/>
    <mergeCell ref="R37:S37"/>
    <mergeCell ref="R38:S38"/>
    <mergeCell ref="C34:D34"/>
    <mergeCell ref="R28:S28"/>
    <mergeCell ref="E34:F34"/>
    <mergeCell ref="C38:D38"/>
    <mergeCell ref="E38:F38"/>
    <mergeCell ref="E30:F30"/>
    <mergeCell ref="C30:D30"/>
    <mergeCell ref="C29:F29"/>
    <mergeCell ref="C37:F37"/>
    <mergeCell ref="C31:D31"/>
    <mergeCell ref="E31:F31"/>
    <mergeCell ref="C32:D32"/>
    <mergeCell ref="E32:F32"/>
    <mergeCell ref="C33:D33"/>
    <mergeCell ref="E33:F33"/>
    <mergeCell ref="C35:D35"/>
    <mergeCell ref="E35:F35"/>
    <mergeCell ref="R41:S41"/>
    <mergeCell ref="R42:S42"/>
    <mergeCell ref="B56:M56"/>
    <mergeCell ref="C48:D48"/>
    <mergeCell ref="E48:F48"/>
    <mergeCell ref="C49:D49"/>
    <mergeCell ref="E49:F49"/>
    <mergeCell ref="I46:J46"/>
    <mergeCell ref="C52:D52"/>
    <mergeCell ref="E52:F52"/>
    <mergeCell ref="C53:D53"/>
    <mergeCell ref="E53:F53"/>
    <mergeCell ref="C50:D50"/>
    <mergeCell ref="E50:F50"/>
    <mergeCell ref="C51:D51"/>
    <mergeCell ref="E51:F51"/>
    <mergeCell ref="C90:W90"/>
    <mergeCell ref="C91:L91"/>
    <mergeCell ref="M91:W91"/>
    <mergeCell ref="B73:M73"/>
    <mergeCell ref="O56:X56"/>
    <mergeCell ref="O73:X73"/>
  </mergeCells>
  <conditionalFormatting sqref="L8:L23">
    <cfRule type="cellIs" dxfId="22" priority="23" operator="lessThan">
      <formula>0</formula>
    </cfRule>
  </conditionalFormatting>
  <conditionalFormatting sqref="S10:S19">
    <cfRule type="cellIs" dxfId="21" priority="22" operator="lessThan">
      <formula>5</formula>
    </cfRule>
  </conditionalFormatting>
  <conditionalFormatting sqref="U10:U19">
    <cfRule type="cellIs" dxfId="20" priority="18" operator="greaterThan">
      <formula>2</formula>
    </cfRule>
    <cfRule type="cellIs" dxfId="19" priority="19" operator="greaterThan">
      <formula>1.5</formula>
    </cfRule>
    <cfRule type="cellIs" dxfId="18" priority="20" operator="greaterThan">
      <formula>1</formula>
    </cfRule>
  </conditionalFormatting>
  <conditionalFormatting sqref="S7">
    <cfRule type="cellIs" dxfId="17" priority="17" operator="lessThan">
      <formula>5</formula>
    </cfRule>
  </conditionalFormatting>
  <conditionalFormatting sqref="U22:W26 U31:W36 U40:W41">
    <cfRule type="colorScale" priority="16">
      <colorScale>
        <cfvo type="num" val="0"/>
        <cfvo type="num" val="0.5"/>
        <cfvo type="num" val="1"/>
        <color rgb="FFC00000"/>
        <color rgb="FFFFC000"/>
        <color rgb="FF00B050"/>
      </colorScale>
    </cfRule>
  </conditionalFormatting>
  <conditionalFormatting sqref="T40:T41 T31:T36 T22:T26">
    <cfRule type="cellIs" dxfId="16" priority="8" operator="lessThan">
      <formula>0.1</formula>
    </cfRule>
    <cfRule type="cellIs" dxfId="15" priority="9" operator="greaterThan">
      <formula>0.9</formula>
    </cfRule>
    <cfRule type="cellIs" dxfId="14" priority="10" operator="greaterThan">
      <formula>0.8</formula>
    </cfRule>
    <cfRule type="cellIs" dxfId="13" priority="11" operator="lessThan">
      <formula>0.2</formula>
    </cfRule>
  </conditionalFormatting>
  <conditionalFormatting sqref="J30">
    <cfRule type="cellIs" dxfId="12" priority="7" operator="lessThan">
      <formula>0.08</formula>
    </cfRule>
  </conditionalFormatting>
  <conditionalFormatting sqref="T30">
    <cfRule type="cellIs" dxfId="11" priority="1" operator="lessThan">
      <formula>0.1</formula>
    </cfRule>
    <cfRule type="cellIs" dxfId="10" priority="2" operator="greaterThan">
      <formula>0.9</formula>
    </cfRule>
    <cfRule type="cellIs" dxfId="9" priority="3" operator="greaterThan">
      <formula>0.8</formula>
    </cfRule>
    <cfRule type="cellIs" dxfId="8" priority="4" operator="lessThan">
      <formula>0.2</formula>
    </cfRule>
  </conditionalFormatting>
  <conditionalFormatting sqref="U30:V30">
    <cfRule type="colorScale" priority="5">
      <colorScale>
        <cfvo type="num" val="0"/>
        <cfvo type="num" val="0.5"/>
        <cfvo type="num" val="1"/>
        <color rgb="FFC00000"/>
        <color rgb="FFFFC000"/>
        <color rgb="FF00B050"/>
      </colorScale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_Projekte">
    <tabColor rgb="FF0070C0"/>
  </sheetPr>
  <dimension ref="A1:BG59"/>
  <sheetViews>
    <sheetView zoomScale="85" zoomScaleNormal="85" zoomScalePageLayoutView="85" workbookViewId="0">
      <pane xSplit="2" ySplit="8" topLeftCell="AR9" activePane="bottomRight" state="frozen"/>
      <selection pane="topRight" activeCell="C1" sqref="C1"/>
      <selection pane="bottomLeft" activeCell="A9" sqref="A9"/>
      <selection pane="bottomRight" activeCell="BE9" sqref="BE8:BE9"/>
    </sheetView>
  </sheetViews>
  <sheetFormatPr baseColWidth="10" defaultColWidth="24.28515625" defaultRowHeight="15" x14ac:dyDescent="0.25"/>
  <cols>
    <col min="1" max="1" width="3.7109375" style="66" bestFit="1" customWidth="1"/>
    <col min="2" max="2" width="24.140625" style="67" bestFit="1" customWidth="1"/>
    <col min="3" max="3" width="24.28515625" style="47"/>
    <col min="4" max="4" width="24.28515625" style="47" customWidth="1"/>
    <col min="5" max="6" width="24.28515625" style="47"/>
    <col min="7" max="7" width="24.28515625" style="47" customWidth="1"/>
    <col min="8" max="8" width="24.28515625" style="47"/>
    <col min="9" max="11" width="24.28515625" style="47" customWidth="1"/>
    <col min="12" max="20" width="24.28515625" style="47"/>
    <col min="21" max="22" width="24.28515625" style="47" customWidth="1"/>
    <col min="23" max="23" width="24.28515625" style="47"/>
    <col min="24" max="25" width="24.28515625" style="47" customWidth="1"/>
    <col min="26" max="27" width="24.28515625" style="47"/>
    <col min="28" max="29" width="24.28515625" style="47" customWidth="1"/>
    <col min="30" max="32" width="24.28515625" style="47"/>
    <col min="33" max="33" width="24.28515625" style="47" customWidth="1"/>
    <col min="34" max="35" width="24.28515625" style="47"/>
    <col min="36" max="36" width="24.28515625" style="47" customWidth="1"/>
    <col min="37" max="42" width="24.28515625" style="47"/>
    <col min="43" max="44" width="24.28515625" style="47" customWidth="1"/>
    <col min="45" max="45" width="24.28515625" style="47"/>
    <col min="46" max="46" width="24.28515625" style="47" customWidth="1"/>
    <col min="47" max="49" width="24.28515625" style="47"/>
    <col min="50" max="50" width="24.28515625" style="47" customWidth="1"/>
    <col min="51" max="52" width="24.28515625" style="47"/>
    <col min="53" max="53" width="24.28515625" style="47" customWidth="1"/>
    <col min="54" max="16384" width="24.28515625" style="47"/>
  </cols>
  <sheetData>
    <row r="1" spans="1:59" s="88" customFormat="1" x14ac:dyDescent="0.25">
      <c r="A1" s="56"/>
      <c r="B1" s="57" t="s">
        <v>381</v>
      </c>
      <c r="C1" s="88" t="s">
        <v>268</v>
      </c>
      <c r="D1" s="88" t="s">
        <v>270</v>
      </c>
      <c r="E1" s="88" t="s">
        <v>272</v>
      </c>
      <c r="F1" s="88" t="s">
        <v>274</v>
      </c>
      <c r="G1" s="88" t="s">
        <v>276</v>
      </c>
      <c r="H1" s="88" t="s">
        <v>278</v>
      </c>
      <c r="I1" s="88" t="s">
        <v>280</v>
      </c>
      <c r="J1" s="88" t="s">
        <v>282</v>
      </c>
      <c r="K1" s="88" t="s">
        <v>284</v>
      </c>
      <c r="L1" s="88" t="s">
        <v>286</v>
      </c>
      <c r="M1" s="88" t="s">
        <v>288</v>
      </c>
      <c r="N1" s="88" t="s">
        <v>290</v>
      </c>
      <c r="O1" s="88" t="s">
        <v>292</v>
      </c>
      <c r="P1" s="88" t="s">
        <v>294</v>
      </c>
      <c r="Q1" s="88" t="s">
        <v>296</v>
      </c>
      <c r="R1" s="88" t="s">
        <v>298</v>
      </c>
      <c r="S1" s="88" t="s">
        <v>300</v>
      </c>
      <c r="T1" s="88" t="s">
        <v>302</v>
      </c>
      <c r="U1" s="88" t="s">
        <v>304</v>
      </c>
      <c r="V1" s="88" t="s">
        <v>306</v>
      </c>
      <c r="W1" s="88" t="s">
        <v>309</v>
      </c>
      <c r="X1" s="88" t="s">
        <v>311</v>
      </c>
      <c r="Y1" s="88" t="s">
        <v>313</v>
      </c>
      <c r="Z1" s="88" t="s">
        <v>315</v>
      </c>
      <c r="AA1" s="88" t="s">
        <v>317</v>
      </c>
      <c r="AB1" s="88" t="s">
        <v>319</v>
      </c>
      <c r="AC1" s="88" t="s">
        <v>321</v>
      </c>
      <c r="AD1" s="88" t="s">
        <v>323</v>
      </c>
      <c r="AE1" s="88" t="s">
        <v>325</v>
      </c>
      <c r="AF1" s="88" t="s">
        <v>327</v>
      </c>
      <c r="AG1" s="88" t="s">
        <v>329</v>
      </c>
      <c r="AH1" s="88" t="s">
        <v>331</v>
      </c>
      <c r="AI1" s="88" t="s">
        <v>333</v>
      </c>
      <c r="AJ1" s="88" t="s">
        <v>335</v>
      </c>
      <c r="AK1" s="88" t="s">
        <v>337</v>
      </c>
      <c r="AL1" s="88" t="s">
        <v>339</v>
      </c>
      <c r="AM1" s="88" t="s">
        <v>341</v>
      </c>
      <c r="AN1" s="88" t="s">
        <v>343</v>
      </c>
      <c r="AO1" s="88" t="s">
        <v>345</v>
      </c>
      <c r="AP1" s="88" t="s">
        <v>347</v>
      </c>
      <c r="AQ1" s="88" t="s">
        <v>349</v>
      </c>
      <c r="AR1" s="88" t="s">
        <v>351</v>
      </c>
      <c r="AS1" s="88" t="s">
        <v>353</v>
      </c>
      <c r="AT1" s="88" t="s">
        <v>355</v>
      </c>
      <c r="AU1" s="88" t="s">
        <v>357</v>
      </c>
      <c r="AV1" s="88" t="s">
        <v>359</v>
      </c>
      <c r="AW1" s="88" t="s">
        <v>361</v>
      </c>
      <c r="AX1" s="88" t="s">
        <v>363</v>
      </c>
      <c r="AY1" s="88" t="s">
        <v>365</v>
      </c>
      <c r="AZ1" s="88" t="s">
        <v>367</v>
      </c>
      <c r="BA1" s="88" t="s">
        <v>369</v>
      </c>
      <c r="BB1" s="88" t="s">
        <v>371</v>
      </c>
      <c r="BC1" s="88" t="s">
        <v>373</v>
      </c>
      <c r="BD1" s="88" t="s">
        <v>375</v>
      </c>
      <c r="BE1" s="88" t="s">
        <v>377</v>
      </c>
      <c r="BF1" s="88" t="s">
        <v>379</v>
      </c>
    </row>
    <row r="2" spans="1:59" s="60" customFormat="1" ht="45" customHeight="1" x14ac:dyDescent="0.25">
      <c r="A2" s="58"/>
      <c r="B2" s="59" t="s">
        <v>123</v>
      </c>
      <c r="C2" s="60" t="s">
        <v>269</v>
      </c>
      <c r="D2" s="60" t="s">
        <v>271</v>
      </c>
      <c r="E2" s="60" t="s">
        <v>273</v>
      </c>
      <c r="F2" s="60" t="s">
        <v>275</v>
      </c>
      <c r="G2" s="60" t="s">
        <v>277</v>
      </c>
      <c r="H2" s="60" t="s">
        <v>279</v>
      </c>
      <c r="I2" s="60" t="s">
        <v>281</v>
      </c>
      <c r="J2" s="60" t="s">
        <v>283</v>
      </c>
      <c r="K2" s="60" t="s">
        <v>285</v>
      </c>
      <c r="L2" s="60" t="s">
        <v>287</v>
      </c>
      <c r="M2" s="60" t="s">
        <v>289</v>
      </c>
      <c r="N2" s="60" t="s">
        <v>291</v>
      </c>
      <c r="O2" s="60" t="s">
        <v>293</v>
      </c>
      <c r="P2" s="60" t="s">
        <v>295</v>
      </c>
      <c r="Q2" s="60" t="s">
        <v>297</v>
      </c>
      <c r="R2" s="60" t="s">
        <v>299</v>
      </c>
      <c r="S2" s="60" t="s">
        <v>301</v>
      </c>
      <c r="T2" s="60" t="s">
        <v>303</v>
      </c>
      <c r="U2" s="60" t="s">
        <v>305</v>
      </c>
      <c r="V2" s="60" t="s">
        <v>307</v>
      </c>
      <c r="W2" s="60" t="s">
        <v>310</v>
      </c>
      <c r="X2" s="60" t="s">
        <v>312</v>
      </c>
      <c r="Y2" s="60" t="s">
        <v>314</v>
      </c>
      <c r="Z2" s="60" t="s">
        <v>316</v>
      </c>
      <c r="AA2" s="60" t="s">
        <v>318</v>
      </c>
      <c r="AB2" s="60" t="s">
        <v>320</v>
      </c>
      <c r="AC2" s="60" t="s">
        <v>322</v>
      </c>
      <c r="AD2" s="60" t="s">
        <v>324</v>
      </c>
      <c r="AE2" s="60" t="s">
        <v>326</v>
      </c>
      <c r="AF2" s="60" t="s">
        <v>328</v>
      </c>
      <c r="AG2" s="60" t="s">
        <v>330</v>
      </c>
      <c r="AH2" s="60" t="s">
        <v>332</v>
      </c>
      <c r="AI2" s="60" t="s">
        <v>334</v>
      </c>
      <c r="AJ2" s="60" t="s">
        <v>336</v>
      </c>
      <c r="AK2" s="60" t="s">
        <v>338</v>
      </c>
      <c r="AL2" s="60" t="s">
        <v>340</v>
      </c>
      <c r="AM2" s="60" t="s">
        <v>342</v>
      </c>
      <c r="AN2" s="60" t="s">
        <v>344</v>
      </c>
      <c r="AO2" s="60" t="s">
        <v>346</v>
      </c>
      <c r="AP2" s="60" t="s">
        <v>348</v>
      </c>
      <c r="AQ2" s="60" t="s">
        <v>350</v>
      </c>
      <c r="AR2" s="60" t="s">
        <v>352</v>
      </c>
      <c r="AS2" s="60" t="s">
        <v>354</v>
      </c>
      <c r="AT2" s="60" t="s">
        <v>356</v>
      </c>
      <c r="AU2" s="60" t="s">
        <v>358</v>
      </c>
      <c r="AV2" s="60" t="s">
        <v>360</v>
      </c>
      <c r="AW2" s="60" t="s">
        <v>362</v>
      </c>
      <c r="AX2" s="60" t="s">
        <v>364</v>
      </c>
      <c r="AY2" s="60" t="s">
        <v>366</v>
      </c>
      <c r="AZ2" s="60" t="s">
        <v>368</v>
      </c>
      <c r="BA2" s="60" t="s">
        <v>370</v>
      </c>
      <c r="BB2" s="60" t="s">
        <v>372</v>
      </c>
      <c r="BC2" s="60" t="s">
        <v>374</v>
      </c>
      <c r="BD2" s="60" t="s">
        <v>376</v>
      </c>
      <c r="BE2" s="60" t="s">
        <v>378</v>
      </c>
      <c r="BF2" s="60" t="s">
        <v>380</v>
      </c>
    </row>
    <row r="3" spans="1:59" s="60" customFormat="1" ht="15" customHeight="1" x14ac:dyDescent="0.25">
      <c r="A3" s="58"/>
      <c r="B3" s="59" t="s">
        <v>643</v>
      </c>
      <c r="C3" s="60" t="str">
        <f>'Projekt Hilfe'!B70</f>
        <v>Produktion</v>
      </c>
      <c r="D3" s="60" t="str">
        <f>'Projekt Hilfe'!C70</f>
        <v>Produktion</v>
      </c>
      <c r="E3" s="60" t="str">
        <f>'Projekt Hilfe'!D70</f>
        <v>Produktion</v>
      </c>
      <c r="F3" s="60" t="str">
        <f>'Projekt Hilfe'!E70</f>
        <v>IT</v>
      </c>
      <c r="G3" s="60" t="str">
        <f>'Projekt Hilfe'!F70</f>
        <v>Marketing</v>
      </c>
      <c r="H3" s="60" t="str">
        <f>'Projekt Hilfe'!G70</f>
        <v>Marketing</v>
      </c>
      <c r="I3" s="60" t="str">
        <f>'Projekt Hilfe'!H70</f>
        <v>Marketing</v>
      </c>
      <c r="J3" s="60" t="str">
        <f>'Projekt Hilfe'!I70</f>
        <v>Marketing</v>
      </c>
      <c r="K3" s="60" t="str">
        <f>'Projekt Hilfe'!J70</f>
        <v>Marketing</v>
      </c>
      <c r="L3" s="60" t="str">
        <f>'Projekt Hilfe'!K70</f>
        <v>IT</v>
      </c>
      <c r="M3" s="60" t="str">
        <f>'Projekt Hilfe'!L70</f>
        <v>Marketing</v>
      </c>
      <c r="N3" s="60" t="str">
        <f>'Projekt Hilfe'!M70</f>
        <v>IT</v>
      </c>
      <c r="O3" s="60" t="str">
        <f>'Projekt Hilfe'!N70</f>
        <v>Marketing</v>
      </c>
      <c r="P3" s="60" t="str">
        <f>'Projekt Hilfe'!O70</f>
        <v>Marketing</v>
      </c>
      <c r="Q3" s="60" t="str">
        <f>'Projekt Hilfe'!P70</f>
        <v>Marketing</v>
      </c>
      <c r="R3" s="60" t="str">
        <f>'Projekt Hilfe'!Q70</f>
        <v>Marketing</v>
      </c>
      <c r="S3" s="60" t="str">
        <f>'Projekt Hilfe'!R70</f>
        <v>Marketing</v>
      </c>
      <c r="T3" s="60" t="str">
        <f>'Projekt Hilfe'!S70</f>
        <v>Marketing</v>
      </c>
      <c r="U3" s="60" t="str">
        <f>'Projekt Hilfe'!T70</f>
        <v>Marketing</v>
      </c>
      <c r="V3" s="60" t="str">
        <f>'Projekt Hilfe'!U70</f>
        <v>Marketing</v>
      </c>
      <c r="W3" s="60" t="str">
        <f>'Projekt Hilfe'!V70</f>
        <v>Produktion</v>
      </c>
      <c r="X3" s="60" t="str">
        <f>'Projekt Hilfe'!W70</f>
        <v>Produktion</v>
      </c>
      <c r="Y3" s="60" t="str">
        <f>'Projekt Hilfe'!X70</f>
        <v>Marketing</v>
      </c>
      <c r="Z3" s="60" t="str">
        <f>'Projekt Hilfe'!Y70</f>
        <v>Produktion</v>
      </c>
      <c r="AA3" s="60" t="str">
        <f>'Projekt Hilfe'!Z70</f>
        <v>Marketing</v>
      </c>
      <c r="AB3" s="60" t="str">
        <f>'Projekt Hilfe'!AA70</f>
        <v>Produktion</v>
      </c>
      <c r="AC3" s="60" t="str">
        <f>'Projekt Hilfe'!AB70</f>
        <v>Produktion</v>
      </c>
      <c r="AD3" s="60" t="str">
        <f>'Projekt Hilfe'!AC70</f>
        <v>Marketing</v>
      </c>
      <c r="AE3" s="60" t="str">
        <f>'Projekt Hilfe'!AD70</f>
        <v>Marketing</v>
      </c>
      <c r="AF3" s="60" t="str">
        <f>'Projekt Hilfe'!AE70</f>
        <v>gesamt</v>
      </c>
      <c r="AG3" s="60" t="str">
        <f>'Projekt Hilfe'!AF70</f>
        <v>Produktion</v>
      </c>
      <c r="AH3" s="60" t="str">
        <f>'Projekt Hilfe'!AG70</f>
        <v>Marketing</v>
      </c>
      <c r="AI3" s="60" t="str">
        <f>'Projekt Hilfe'!AH70</f>
        <v>IT</v>
      </c>
      <c r="AJ3" s="60" t="str">
        <f>'Projekt Hilfe'!AI70</f>
        <v>gesamt</v>
      </c>
      <c r="AK3" s="60" t="str">
        <f>'Projekt Hilfe'!AJ70</f>
        <v>gesamt</v>
      </c>
      <c r="AL3" s="60" t="str">
        <f>'Projekt Hilfe'!AK70</f>
        <v>gesamt</v>
      </c>
      <c r="AM3" s="60" t="str">
        <f>'Projekt Hilfe'!AL70</f>
        <v>gesamt</v>
      </c>
      <c r="AN3" s="60" t="str">
        <f>'Projekt Hilfe'!AM70</f>
        <v>IT</v>
      </c>
      <c r="AO3" s="60" t="str">
        <f>'Projekt Hilfe'!AN70</f>
        <v>Marketing</v>
      </c>
      <c r="AP3" s="60" t="str">
        <f>'Projekt Hilfe'!AO70</f>
        <v>Marketing</v>
      </c>
      <c r="AQ3" s="60" t="str">
        <f>'Projekt Hilfe'!AP70</f>
        <v>IT</v>
      </c>
      <c r="AR3" s="60" t="str">
        <f>'Projekt Hilfe'!AQ70</f>
        <v>Marketing</v>
      </c>
      <c r="AS3" s="60" t="str">
        <f>'Projekt Hilfe'!AR70</f>
        <v>Marketing</v>
      </c>
      <c r="AT3" s="60" t="str">
        <f>'Projekt Hilfe'!AS70</f>
        <v>gesamt</v>
      </c>
      <c r="AU3" s="60" t="str">
        <f>'Projekt Hilfe'!AT70</f>
        <v>gesamt</v>
      </c>
      <c r="AV3" s="60" t="str">
        <f>'Projekt Hilfe'!AU70</f>
        <v>Marketing</v>
      </c>
      <c r="AW3" s="60" t="str">
        <f>'Projekt Hilfe'!AV70</f>
        <v>gesamt</v>
      </c>
      <c r="AX3" s="60" t="str">
        <f>'Projekt Hilfe'!AW70</f>
        <v>gesamt</v>
      </c>
      <c r="AY3" s="60" t="str">
        <f>'Projekt Hilfe'!AX70</f>
        <v>Produktion</v>
      </c>
      <c r="AZ3" s="60" t="str">
        <f>'Projekt Hilfe'!AY70</f>
        <v>gesamt</v>
      </c>
      <c r="BA3" s="60" t="str">
        <f>'Projekt Hilfe'!AZ70</f>
        <v>gesamt</v>
      </c>
      <c r="BB3" s="60" t="str">
        <f>'Projekt Hilfe'!BA70</f>
        <v>Produktion</v>
      </c>
      <c r="BC3" s="60" t="str">
        <f>'Projekt Hilfe'!BB70</f>
        <v>IT</v>
      </c>
      <c r="BD3" s="60" t="str">
        <f>'Projekt Hilfe'!BC70</f>
        <v>IT</v>
      </c>
      <c r="BE3" s="60" t="str">
        <f>'Projekt Hilfe'!BD70</f>
        <v>IT</v>
      </c>
      <c r="BF3" s="60" t="str">
        <f>'Projekt Hilfe'!BE70</f>
        <v>IT</v>
      </c>
    </row>
    <row r="4" spans="1:59" s="63" customFormat="1" x14ac:dyDescent="0.25">
      <c r="A4" s="61"/>
      <c r="B4" s="62" t="s">
        <v>411</v>
      </c>
      <c r="C4" s="63">
        <v>1627500</v>
      </c>
      <c r="D4" s="63">
        <v>1807500</v>
      </c>
      <c r="E4" s="63">
        <v>1639500</v>
      </c>
      <c r="F4" s="63">
        <v>939500</v>
      </c>
      <c r="G4" s="63">
        <v>1765000</v>
      </c>
      <c r="H4" s="63">
        <v>3455000</v>
      </c>
      <c r="I4" s="63">
        <v>1900000</v>
      </c>
      <c r="J4" s="63">
        <v>2491000</v>
      </c>
      <c r="K4" s="63">
        <v>2101500</v>
      </c>
      <c r="L4" s="63">
        <v>710300</v>
      </c>
      <c r="M4" s="63">
        <v>1037800</v>
      </c>
      <c r="N4" s="63">
        <v>3098000</v>
      </c>
      <c r="O4" s="63">
        <v>120000</v>
      </c>
      <c r="P4" s="63">
        <v>120000</v>
      </c>
      <c r="Q4" s="63">
        <v>120000</v>
      </c>
      <c r="R4" s="63">
        <v>120000</v>
      </c>
      <c r="S4" s="63">
        <v>120000</v>
      </c>
      <c r="T4" s="63">
        <v>847500</v>
      </c>
      <c r="U4" s="63">
        <v>1005000</v>
      </c>
      <c r="V4" s="63">
        <v>1022500</v>
      </c>
      <c r="W4" s="63">
        <v>120000</v>
      </c>
      <c r="X4" s="63">
        <v>2077500</v>
      </c>
      <c r="Y4" s="63">
        <v>1627500</v>
      </c>
      <c r="Z4" s="63">
        <v>2667500</v>
      </c>
      <c r="AA4" s="63">
        <v>978250</v>
      </c>
      <c r="AB4" s="63">
        <v>590300</v>
      </c>
      <c r="AC4" s="63">
        <v>1357500</v>
      </c>
      <c r="AD4" s="63">
        <v>120000</v>
      </c>
      <c r="AE4" s="63">
        <v>1847000</v>
      </c>
      <c r="AF4" s="63">
        <v>1594000</v>
      </c>
      <c r="AG4" s="63">
        <v>1693300</v>
      </c>
      <c r="AH4" s="63">
        <v>887000</v>
      </c>
      <c r="AI4" s="63">
        <v>3321000</v>
      </c>
      <c r="AJ4" s="63">
        <v>2130100</v>
      </c>
      <c r="AK4" s="63">
        <v>120000</v>
      </c>
      <c r="AL4" s="63">
        <v>1065000</v>
      </c>
      <c r="AM4" s="63">
        <v>1108100</v>
      </c>
      <c r="AN4" s="63">
        <v>1900600</v>
      </c>
      <c r="AO4" s="63">
        <v>870000</v>
      </c>
      <c r="AP4" s="63">
        <v>120000</v>
      </c>
      <c r="AQ4" s="63">
        <v>2054600</v>
      </c>
      <c r="AR4" s="63">
        <v>507500</v>
      </c>
      <c r="AS4" s="63">
        <v>1372500</v>
      </c>
      <c r="AT4" s="63">
        <v>2387600</v>
      </c>
      <c r="AU4" s="63">
        <v>120000</v>
      </c>
      <c r="AV4" s="63">
        <v>120000</v>
      </c>
      <c r="AW4" s="63">
        <v>832500</v>
      </c>
      <c r="AX4" s="63">
        <v>1353750</v>
      </c>
      <c r="AY4" s="63">
        <v>2995000</v>
      </c>
      <c r="AZ4" s="63">
        <v>2335000</v>
      </c>
      <c r="BA4" s="63">
        <v>2485000</v>
      </c>
      <c r="BB4" s="63">
        <v>2777500</v>
      </c>
      <c r="BC4" s="63">
        <v>3366000</v>
      </c>
      <c r="BD4" s="63">
        <v>3968000</v>
      </c>
      <c r="BE4" s="63">
        <v>3494000</v>
      </c>
      <c r="BF4" s="63">
        <v>120000</v>
      </c>
    </row>
    <row r="5" spans="1:59" s="63" customFormat="1" x14ac:dyDescent="0.25">
      <c r="A5" s="61"/>
      <c r="B5" s="62" t="s">
        <v>456</v>
      </c>
      <c r="C5" s="63">
        <f>SUM(C15:C27)</f>
        <v>18</v>
      </c>
      <c r="D5" s="63">
        <f t="shared" ref="D5:BF5" si="0">SUM(D15:D27)</f>
        <v>28</v>
      </c>
      <c r="E5" s="63">
        <f t="shared" si="0"/>
        <v>22</v>
      </c>
      <c r="F5" s="63">
        <f t="shared" si="0"/>
        <v>16</v>
      </c>
      <c r="G5" s="63">
        <f t="shared" si="0"/>
        <v>44</v>
      </c>
      <c r="H5" s="63">
        <f t="shared" si="0"/>
        <v>52</v>
      </c>
      <c r="I5" s="63">
        <f t="shared" si="0"/>
        <v>56</v>
      </c>
      <c r="J5" s="63">
        <f t="shared" si="0"/>
        <v>40</v>
      </c>
      <c r="K5" s="63">
        <f t="shared" si="0"/>
        <v>36</v>
      </c>
      <c r="L5" s="63">
        <f t="shared" si="0"/>
        <v>16</v>
      </c>
      <c r="M5" s="63">
        <f t="shared" si="0"/>
        <v>24</v>
      </c>
      <c r="N5" s="63">
        <f t="shared" si="0"/>
        <v>48</v>
      </c>
      <c r="O5" s="63">
        <f t="shared" si="0"/>
        <v>2</v>
      </c>
      <c r="P5" s="63">
        <f t="shared" si="0"/>
        <v>2</v>
      </c>
      <c r="Q5" s="63">
        <f t="shared" si="0"/>
        <v>2</v>
      </c>
      <c r="R5" s="63">
        <f t="shared" si="0"/>
        <v>2</v>
      </c>
      <c r="S5" s="63">
        <f t="shared" si="0"/>
        <v>2</v>
      </c>
      <c r="T5" s="63">
        <f t="shared" si="0"/>
        <v>24</v>
      </c>
      <c r="U5" s="63">
        <f t="shared" si="0"/>
        <v>28</v>
      </c>
      <c r="V5" s="63">
        <f t="shared" si="0"/>
        <v>22</v>
      </c>
      <c r="W5" s="63">
        <f t="shared" si="0"/>
        <v>2</v>
      </c>
      <c r="X5" s="63">
        <f t="shared" si="0"/>
        <v>36</v>
      </c>
      <c r="Y5" s="63">
        <f t="shared" si="0"/>
        <v>18</v>
      </c>
      <c r="Z5" s="63">
        <f t="shared" si="0"/>
        <v>22</v>
      </c>
      <c r="AA5" s="63">
        <f t="shared" si="0"/>
        <v>17</v>
      </c>
      <c r="AB5" s="63">
        <f t="shared" si="0"/>
        <v>14</v>
      </c>
      <c r="AC5" s="63">
        <f t="shared" si="0"/>
        <v>10</v>
      </c>
      <c r="AD5" s="63">
        <f t="shared" si="0"/>
        <v>2</v>
      </c>
      <c r="AE5" s="63">
        <f t="shared" si="0"/>
        <v>28</v>
      </c>
      <c r="AF5" s="63">
        <f t="shared" si="0"/>
        <v>24</v>
      </c>
      <c r="AG5" s="63">
        <f t="shared" si="0"/>
        <v>32</v>
      </c>
      <c r="AH5" s="63">
        <f t="shared" si="0"/>
        <v>14</v>
      </c>
      <c r="AI5" s="63">
        <f t="shared" si="0"/>
        <v>48</v>
      </c>
      <c r="AJ5" s="63">
        <f t="shared" si="0"/>
        <v>22</v>
      </c>
      <c r="AK5" s="63">
        <f t="shared" si="0"/>
        <v>2</v>
      </c>
      <c r="AL5" s="63">
        <f t="shared" si="0"/>
        <v>16</v>
      </c>
      <c r="AM5" s="63">
        <f t="shared" si="0"/>
        <v>20</v>
      </c>
      <c r="AN5" s="63">
        <f t="shared" si="0"/>
        <v>56</v>
      </c>
      <c r="AO5" s="63">
        <f t="shared" si="0"/>
        <v>38</v>
      </c>
      <c r="AP5" s="63">
        <f t="shared" si="0"/>
        <v>2</v>
      </c>
      <c r="AQ5" s="63">
        <f t="shared" si="0"/>
        <v>36</v>
      </c>
      <c r="AR5" s="63">
        <f t="shared" si="0"/>
        <v>12</v>
      </c>
      <c r="AS5" s="63">
        <f t="shared" si="0"/>
        <v>14</v>
      </c>
      <c r="AT5" s="63">
        <f t="shared" si="0"/>
        <v>38</v>
      </c>
      <c r="AU5" s="63">
        <f t="shared" si="0"/>
        <v>2</v>
      </c>
      <c r="AV5" s="63">
        <f t="shared" si="0"/>
        <v>2</v>
      </c>
      <c r="AW5" s="63">
        <f t="shared" si="0"/>
        <v>14</v>
      </c>
      <c r="AX5" s="63">
        <f t="shared" si="0"/>
        <v>11</v>
      </c>
      <c r="AY5" s="63">
        <f t="shared" si="0"/>
        <v>34</v>
      </c>
      <c r="AZ5" s="63">
        <f t="shared" si="0"/>
        <v>16</v>
      </c>
      <c r="BA5" s="63">
        <f t="shared" si="0"/>
        <v>22</v>
      </c>
      <c r="BB5" s="63">
        <f t="shared" si="0"/>
        <v>16</v>
      </c>
      <c r="BC5" s="63">
        <f t="shared" si="0"/>
        <v>56</v>
      </c>
      <c r="BD5" s="63">
        <f t="shared" si="0"/>
        <v>74</v>
      </c>
      <c r="BE5" s="63">
        <f t="shared" si="0"/>
        <v>48</v>
      </c>
      <c r="BF5" s="63">
        <f t="shared" si="0"/>
        <v>2</v>
      </c>
    </row>
    <row r="6" spans="1:59" s="63" customFormat="1" x14ac:dyDescent="0.25">
      <c r="A6" s="61"/>
      <c r="B6" s="62" t="s">
        <v>457</v>
      </c>
      <c r="C6" s="63">
        <f>SUM(C33:C36)*3+SUM(C37:C48)</f>
        <v>6</v>
      </c>
      <c r="D6" s="63">
        <f t="shared" ref="D6:BF6" si="1">SUM(D33:D36)*3+SUM(D37:D48)</f>
        <v>6</v>
      </c>
      <c r="E6" s="63">
        <f t="shared" si="1"/>
        <v>7</v>
      </c>
      <c r="F6" s="63">
        <f t="shared" si="1"/>
        <v>5</v>
      </c>
      <c r="G6" s="63">
        <f t="shared" si="1"/>
        <v>14</v>
      </c>
      <c r="H6" s="63">
        <f t="shared" si="1"/>
        <v>5</v>
      </c>
      <c r="I6" s="63">
        <f t="shared" si="1"/>
        <v>6</v>
      </c>
      <c r="J6" s="63">
        <f t="shared" si="1"/>
        <v>11</v>
      </c>
      <c r="K6" s="63">
        <f t="shared" si="1"/>
        <v>10</v>
      </c>
      <c r="L6" s="63">
        <f t="shared" si="1"/>
        <v>3</v>
      </c>
      <c r="M6" s="63">
        <f t="shared" si="1"/>
        <v>3</v>
      </c>
      <c r="N6" s="63">
        <f t="shared" si="1"/>
        <v>4</v>
      </c>
      <c r="O6" s="63">
        <f t="shared" si="1"/>
        <v>9</v>
      </c>
      <c r="P6" s="63">
        <f t="shared" si="1"/>
        <v>4</v>
      </c>
      <c r="Q6" s="63">
        <f t="shared" si="1"/>
        <v>7</v>
      </c>
      <c r="R6" s="63">
        <f t="shared" si="1"/>
        <v>4</v>
      </c>
      <c r="S6" s="63">
        <f t="shared" si="1"/>
        <v>6</v>
      </c>
      <c r="T6" s="63">
        <f t="shared" si="1"/>
        <v>5</v>
      </c>
      <c r="U6" s="63">
        <f t="shared" si="1"/>
        <v>3</v>
      </c>
      <c r="V6" s="63">
        <f t="shared" si="1"/>
        <v>3</v>
      </c>
      <c r="W6" s="63">
        <f t="shared" si="1"/>
        <v>13</v>
      </c>
      <c r="X6" s="63">
        <f t="shared" si="1"/>
        <v>7</v>
      </c>
      <c r="Y6" s="63">
        <f t="shared" si="1"/>
        <v>8</v>
      </c>
      <c r="Z6" s="63">
        <f t="shared" si="1"/>
        <v>9</v>
      </c>
      <c r="AA6" s="63">
        <f t="shared" si="1"/>
        <v>3</v>
      </c>
      <c r="AB6" s="63">
        <f t="shared" si="1"/>
        <v>2</v>
      </c>
      <c r="AC6" s="63">
        <f t="shared" si="1"/>
        <v>6</v>
      </c>
      <c r="AD6" s="63">
        <f t="shared" si="1"/>
        <v>14</v>
      </c>
      <c r="AE6" s="63">
        <f t="shared" si="1"/>
        <v>7</v>
      </c>
      <c r="AF6" s="63">
        <f t="shared" si="1"/>
        <v>21</v>
      </c>
      <c r="AG6" s="63">
        <f t="shared" si="1"/>
        <v>11</v>
      </c>
      <c r="AH6" s="63">
        <f t="shared" si="1"/>
        <v>3</v>
      </c>
      <c r="AI6" s="63">
        <f t="shared" si="1"/>
        <v>9</v>
      </c>
      <c r="AJ6" s="63">
        <f t="shared" si="1"/>
        <v>15</v>
      </c>
      <c r="AK6" s="63">
        <f t="shared" si="1"/>
        <v>22</v>
      </c>
      <c r="AL6" s="63">
        <f t="shared" si="1"/>
        <v>0</v>
      </c>
      <c r="AM6" s="63">
        <f t="shared" si="1"/>
        <v>0</v>
      </c>
      <c r="AN6" s="63">
        <f t="shared" si="1"/>
        <v>11</v>
      </c>
      <c r="AO6" s="63">
        <f t="shared" si="1"/>
        <v>5</v>
      </c>
      <c r="AP6" s="63">
        <f t="shared" si="1"/>
        <v>5</v>
      </c>
      <c r="AQ6" s="63">
        <f t="shared" si="1"/>
        <v>6</v>
      </c>
      <c r="AR6" s="63">
        <f t="shared" si="1"/>
        <v>3</v>
      </c>
      <c r="AS6" s="63">
        <f t="shared" si="1"/>
        <v>4</v>
      </c>
      <c r="AT6" s="63">
        <f t="shared" si="1"/>
        <v>14</v>
      </c>
      <c r="AU6" s="63">
        <f t="shared" si="1"/>
        <v>12</v>
      </c>
      <c r="AV6" s="63">
        <f t="shared" si="1"/>
        <v>12</v>
      </c>
      <c r="AW6" s="63">
        <f t="shared" si="1"/>
        <v>5</v>
      </c>
      <c r="AX6" s="63">
        <f t="shared" si="1"/>
        <v>6</v>
      </c>
      <c r="AY6" s="63">
        <f t="shared" si="1"/>
        <v>16</v>
      </c>
      <c r="AZ6" s="63">
        <f t="shared" si="1"/>
        <v>0</v>
      </c>
      <c r="BA6" s="63">
        <f t="shared" si="1"/>
        <v>0</v>
      </c>
      <c r="BB6" s="63">
        <f t="shared" si="1"/>
        <v>12</v>
      </c>
      <c r="BC6" s="63">
        <f t="shared" si="1"/>
        <v>5</v>
      </c>
      <c r="BD6" s="63">
        <f t="shared" si="1"/>
        <v>5</v>
      </c>
      <c r="BE6" s="63">
        <f t="shared" si="1"/>
        <v>5</v>
      </c>
      <c r="BF6" s="63">
        <f t="shared" si="1"/>
        <v>6</v>
      </c>
    </row>
    <row r="7" spans="1:59" s="63" customFormat="1" x14ac:dyDescent="0.25">
      <c r="A7" s="61"/>
      <c r="B7" s="62" t="s">
        <v>414</v>
      </c>
      <c r="C7" s="63" t="b">
        <f>'Projekt Hilfe'!B6</f>
        <v>1</v>
      </c>
      <c r="D7" s="63" t="b">
        <f>'Projekt Hilfe'!C6</f>
        <v>1</v>
      </c>
      <c r="E7" s="63" t="b">
        <f>'Projekt Hilfe'!D6</f>
        <v>1</v>
      </c>
      <c r="F7" s="63" t="b">
        <f>'Projekt Hilfe'!E6</f>
        <v>1</v>
      </c>
      <c r="G7" s="63" t="b">
        <f>'Projekt Hilfe'!F6</f>
        <v>1</v>
      </c>
      <c r="H7" s="63" t="b">
        <f>'Projekt Hilfe'!G6</f>
        <v>1</v>
      </c>
      <c r="I7" s="63" t="b">
        <f>'Projekt Hilfe'!H6</f>
        <v>1</v>
      </c>
      <c r="J7" s="63" t="b">
        <f>'Projekt Hilfe'!I6</f>
        <v>1</v>
      </c>
      <c r="K7" s="63" t="b">
        <f>'Projekt Hilfe'!J6</f>
        <v>1</v>
      </c>
      <c r="L7" s="63" t="b">
        <f>'Projekt Hilfe'!K6</f>
        <v>1</v>
      </c>
      <c r="M7" s="63" t="b">
        <f>'Projekt Hilfe'!L6</f>
        <v>1</v>
      </c>
      <c r="N7" s="63" t="b">
        <f>'Projekt Hilfe'!M6</f>
        <v>1</v>
      </c>
      <c r="O7" s="63" t="b">
        <f>'Projekt Hilfe'!N6</f>
        <v>1</v>
      </c>
      <c r="P7" s="63" t="b">
        <f>'Projekt Hilfe'!O6</f>
        <v>1</v>
      </c>
      <c r="Q7" s="63" t="b">
        <f>'Projekt Hilfe'!P6</f>
        <v>1</v>
      </c>
      <c r="R7" s="63" t="b">
        <f>'Projekt Hilfe'!Q6</f>
        <v>1</v>
      </c>
      <c r="S7" s="63" t="b">
        <f>'Projekt Hilfe'!R6</f>
        <v>1</v>
      </c>
      <c r="T7" s="63" t="b">
        <f>'Projekt Hilfe'!S6</f>
        <v>1</v>
      </c>
      <c r="U7" s="63" t="b">
        <f>'Projekt Hilfe'!T6</f>
        <v>1</v>
      </c>
      <c r="V7" s="63" t="b">
        <f>'Projekt Hilfe'!U6</f>
        <v>1</v>
      </c>
      <c r="W7" s="63" t="b">
        <f>'Projekt Hilfe'!V6</f>
        <v>1</v>
      </c>
      <c r="X7" s="63" t="b">
        <f>'Projekt Hilfe'!W6</f>
        <v>1</v>
      </c>
      <c r="Y7" s="63" t="b">
        <f>'Projekt Hilfe'!X6</f>
        <v>1</v>
      </c>
      <c r="Z7" s="63" t="b">
        <f>'Projekt Hilfe'!Y6</f>
        <v>1</v>
      </c>
      <c r="AA7" s="63" t="b">
        <f>'Projekt Hilfe'!Z6</f>
        <v>1</v>
      </c>
      <c r="AB7" s="63" t="b">
        <f>'Projekt Hilfe'!AA6</f>
        <v>1</v>
      </c>
      <c r="AC7" s="63" t="b">
        <f>'Projekt Hilfe'!AB6</f>
        <v>1</v>
      </c>
      <c r="AD7" s="63" t="b">
        <f>'Projekt Hilfe'!AC6</f>
        <v>1</v>
      </c>
      <c r="AE7" s="63" t="b">
        <f>'Projekt Hilfe'!AD6</f>
        <v>1</v>
      </c>
      <c r="AF7" s="63" t="b">
        <f>'Projekt Hilfe'!AE6</f>
        <v>1</v>
      </c>
      <c r="AG7" s="63" t="b">
        <f>'Projekt Hilfe'!AF6</f>
        <v>1</v>
      </c>
      <c r="AH7" s="63" t="b">
        <f>'Projekt Hilfe'!AG6</f>
        <v>1</v>
      </c>
      <c r="AI7" s="63" t="b">
        <f>'Projekt Hilfe'!AH6</f>
        <v>1</v>
      </c>
      <c r="AJ7" s="63" t="b">
        <f>'Projekt Hilfe'!AI6</f>
        <v>1</v>
      </c>
      <c r="AK7" s="63" t="b">
        <f>'Projekt Hilfe'!AJ6</f>
        <v>1</v>
      </c>
      <c r="AL7" s="63" t="b">
        <f>'Projekt Hilfe'!AK6</f>
        <v>1</v>
      </c>
      <c r="AM7" s="63" t="b">
        <f>'Projekt Hilfe'!AL6</f>
        <v>0</v>
      </c>
      <c r="AN7" s="63" t="b">
        <f>'Projekt Hilfe'!AM6</f>
        <v>0</v>
      </c>
      <c r="AO7" s="63" t="b">
        <f>'Projekt Hilfe'!AN6</f>
        <v>1</v>
      </c>
      <c r="AP7" s="63" t="b">
        <f>'Projekt Hilfe'!AO6</f>
        <v>1</v>
      </c>
      <c r="AQ7" s="63" t="b">
        <f>'Projekt Hilfe'!AP6</f>
        <v>1</v>
      </c>
      <c r="AR7" s="63" t="b">
        <f>'Projekt Hilfe'!AQ6</f>
        <v>1</v>
      </c>
      <c r="AS7" s="63" t="b">
        <f>'Projekt Hilfe'!AR6</f>
        <v>1</v>
      </c>
      <c r="AT7" s="63" t="b">
        <f>'Projekt Hilfe'!AS6</f>
        <v>1</v>
      </c>
      <c r="AU7" s="63" t="b">
        <f>'Projekt Hilfe'!AT6</f>
        <v>1</v>
      </c>
      <c r="AV7" s="63" t="b">
        <f>'Projekt Hilfe'!AU6</f>
        <v>1</v>
      </c>
      <c r="AW7" s="63" t="b">
        <f>'Projekt Hilfe'!AV6</f>
        <v>1</v>
      </c>
      <c r="AX7" s="63" t="b">
        <f>'Projekt Hilfe'!AW6</f>
        <v>1</v>
      </c>
      <c r="AY7" s="63" t="b">
        <f>'Projekt Hilfe'!AX6</f>
        <v>1</v>
      </c>
      <c r="AZ7" s="63" t="b">
        <f>'Projekt Hilfe'!AY6</f>
        <v>1</v>
      </c>
      <c r="BA7" s="63" t="b">
        <f>'Projekt Hilfe'!AZ6</f>
        <v>1</v>
      </c>
      <c r="BB7" s="63" t="b">
        <f>'Projekt Hilfe'!BA6</f>
        <v>1</v>
      </c>
      <c r="BC7" s="63" t="b">
        <f>'Projekt Hilfe'!BB6</f>
        <v>1</v>
      </c>
      <c r="BD7" s="63" t="b">
        <f>'Projekt Hilfe'!BC6</f>
        <v>1</v>
      </c>
      <c r="BE7" s="63" t="b">
        <f>'Projekt Hilfe'!BD6</f>
        <v>1</v>
      </c>
      <c r="BF7" s="63" t="b">
        <f>'Projekt Hilfe'!BE6</f>
        <v>0</v>
      </c>
    </row>
    <row r="8" spans="1:59" s="169" customFormat="1" x14ac:dyDescent="0.25">
      <c r="A8" s="56"/>
      <c r="B8" s="57" t="s">
        <v>308</v>
      </c>
      <c r="C8" s="169" t="s">
        <v>649</v>
      </c>
      <c r="D8" s="169" t="s">
        <v>649</v>
      </c>
      <c r="E8" s="169" t="s">
        <v>649</v>
      </c>
      <c r="F8" s="169" t="s">
        <v>649</v>
      </c>
      <c r="G8" s="169" t="s">
        <v>649</v>
      </c>
      <c r="H8" s="169" t="s">
        <v>649</v>
      </c>
      <c r="I8" s="169" t="s">
        <v>649</v>
      </c>
      <c r="J8" s="169" t="s">
        <v>649</v>
      </c>
      <c r="K8" s="169" t="s">
        <v>649</v>
      </c>
      <c r="L8" s="169" t="s">
        <v>649</v>
      </c>
      <c r="M8" s="169" t="s">
        <v>649</v>
      </c>
      <c r="N8" s="169" t="s">
        <v>649</v>
      </c>
      <c r="O8" s="169" t="s">
        <v>649</v>
      </c>
      <c r="P8" s="169" t="s">
        <v>649</v>
      </c>
      <c r="Q8" s="169" t="s">
        <v>649</v>
      </c>
      <c r="R8" s="169" t="s">
        <v>649</v>
      </c>
      <c r="S8" s="169" t="s">
        <v>649</v>
      </c>
      <c r="T8" s="169" t="s">
        <v>649</v>
      </c>
      <c r="U8" s="169" t="s">
        <v>649</v>
      </c>
      <c r="V8" s="169" t="s">
        <v>649</v>
      </c>
      <c r="W8" s="169" t="s">
        <v>649</v>
      </c>
      <c r="X8" s="169" t="s">
        <v>649</v>
      </c>
      <c r="Y8" s="169" t="s">
        <v>649</v>
      </c>
      <c r="Z8" s="169" t="s">
        <v>649</v>
      </c>
      <c r="AA8" s="169" t="s">
        <v>649</v>
      </c>
      <c r="AB8" s="169" t="s">
        <v>649</v>
      </c>
      <c r="AC8" s="169" t="s">
        <v>649</v>
      </c>
      <c r="AD8" s="169" t="s">
        <v>649</v>
      </c>
      <c r="AE8" s="169" t="s">
        <v>649</v>
      </c>
      <c r="AF8" s="169" t="s">
        <v>649</v>
      </c>
      <c r="AG8" s="169" t="s">
        <v>649</v>
      </c>
      <c r="AH8" s="169" t="s">
        <v>649</v>
      </c>
      <c r="AI8" s="169" t="s">
        <v>649</v>
      </c>
      <c r="AJ8" s="169" t="s">
        <v>649</v>
      </c>
      <c r="AK8" s="169" t="s">
        <v>649</v>
      </c>
      <c r="AO8" s="169" t="s">
        <v>649</v>
      </c>
      <c r="AP8" s="169" t="s">
        <v>649</v>
      </c>
      <c r="AQ8" s="169" t="s">
        <v>649</v>
      </c>
      <c r="AR8" s="169" t="s">
        <v>649</v>
      </c>
      <c r="AS8" s="169" t="s">
        <v>649</v>
      </c>
      <c r="AT8" s="169" t="s">
        <v>649</v>
      </c>
      <c r="AU8" s="169" t="s">
        <v>649</v>
      </c>
      <c r="AV8" s="169" t="s">
        <v>649</v>
      </c>
      <c r="AW8" s="169" t="s">
        <v>649</v>
      </c>
      <c r="AX8" s="169" t="s">
        <v>649</v>
      </c>
      <c r="AY8" s="169" t="s">
        <v>649</v>
      </c>
      <c r="AZ8" s="169" t="s">
        <v>649</v>
      </c>
      <c r="BA8" s="169" t="s">
        <v>649</v>
      </c>
      <c r="BB8" s="169" t="s">
        <v>649</v>
      </c>
      <c r="BC8" s="169" t="s">
        <v>649</v>
      </c>
      <c r="BD8" s="169" t="s">
        <v>649</v>
      </c>
      <c r="BE8" s="169" t="s">
        <v>649</v>
      </c>
      <c r="BG8" s="169">
        <f>SUMIFS(4:4,9:9,7)</f>
        <v>3614000</v>
      </c>
    </row>
    <row r="9" spans="1:59" s="169" customFormat="1" x14ac:dyDescent="0.25">
      <c r="A9" s="56"/>
      <c r="B9" s="57" t="s">
        <v>641</v>
      </c>
      <c r="C9" s="169">
        <v>5</v>
      </c>
      <c r="D9" s="169">
        <v>2</v>
      </c>
      <c r="E9" s="169">
        <v>4</v>
      </c>
      <c r="F9" s="169">
        <v>4</v>
      </c>
      <c r="G9" s="169">
        <v>2</v>
      </c>
      <c r="H9" s="169">
        <v>5</v>
      </c>
      <c r="J9" s="169">
        <v>3</v>
      </c>
      <c r="K9" s="169">
        <v>3</v>
      </c>
      <c r="L9" s="169">
        <v>4</v>
      </c>
      <c r="M9" s="169">
        <v>5</v>
      </c>
      <c r="N9" s="169">
        <v>4</v>
      </c>
      <c r="O9" s="169">
        <v>6</v>
      </c>
      <c r="P9" s="169">
        <v>6</v>
      </c>
      <c r="Q9" s="169">
        <v>6</v>
      </c>
      <c r="R9" s="169">
        <v>6</v>
      </c>
      <c r="S9" s="169">
        <v>5</v>
      </c>
      <c r="T9" s="169">
        <v>5</v>
      </c>
      <c r="U9" s="169">
        <v>3</v>
      </c>
      <c r="V9" s="169">
        <v>3</v>
      </c>
      <c r="W9" s="169">
        <v>5</v>
      </c>
      <c r="X9" s="169">
        <v>3</v>
      </c>
      <c r="Y9" s="169">
        <v>3</v>
      </c>
      <c r="Z9" s="169">
        <v>4</v>
      </c>
      <c r="AA9" s="169">
        <v>6</v>
      </c>
      <c r="AB9" s="169">
        <v>1</v>
      </c>
      <c r="AC9" s="169">
        <v>3</v>
      </c>
      <c r="AD9" s="169">
        <v>5</v>
      </c>
      <c r="AE9" s="169">
        <v>4</v>
      </c>
      <c r="AF9" s="169">
        <v>4</v>
      </c>
      <c r="AG9" s="169">
        <v>3</v>
      </c>
      <c r="AH9" s="169">
        <v>5</v>
      </c>
      <c r="AI9" s="169">
        <v>6</v>
      </c>
      <c r="AJ9" s="169">
        <v>2</v>
      </c>
      <c r="AK9" s="169">
        <v>5</v>
      </c>
      <c r="AO9" s="169">
        <v>4</v>
      </c>
      <c r="AP9" s="169">
        <v>5</v>
      </c>
      <c r="AQ9" s="169">
        <v>2</v>
      </c>
      <c r="AR9" s="169">
        <v>1</v>
      </c>
      <c r="AT9" s="169">
        <v>3</v>
      </c>
      <c r="AU9" s="169">
        <v>5</v>
      </c>
      <c r="AV9" s="169">
        <v>7</v>
      </c>
      <c r="AW9" s="169">
        <v>5</v>
      </c>
      <c r="AX9" s="169">
        <v>3</v>
      </c>
      <c r="AY9" s="169">
        <v>5</v>
      </c>
      <c r="AZ9" s="169">
        <v>4</v>
      </c>
      <c r="BA9" s="169">
        <v>3</v>
      </c>
      <c r="BB9" s="169">
        <v>4</v>
      </c>
      <c r="BC9" s="169">
        <v>4</v>
      </c>
      <c r="BD9" s="169">
        <v>6</v>
      </c>
      <c r="BE9" s="169">
        <v>7</v>
      </c>
    </row>
    <row r="10" spans="1:59" s="169" customFormat="1" x14ac:dyDescent="0.25">
      <c r="A10" s="56"/>
      <c r="B10" s="57" t="s">
        <v>553</v>
      </c>
      <c r="C10" s="153">
        <f>'Projekt Hilfe'!B17</f>
        <v>3.6866359447004609</v>
      </c>
      <c r="D10" s="153">
        <f>'Projekt Hilfe'!C17</f>
        <v>3.3195020746887964</v>
      </c>
      <c r="E10" s="153">
        <f>'Projekt Hilfe'!D17</f>
        <v>4.1425020712510356</v>
      </c>
      <c r="F10" s="153">
        <f>'Projekt Hilfe'!E17</f>
        <v>5.3219797764768497</v>
      </c>
      <c r="G10" s="153">
        <f>'Projekt Hilfe'!F17</f>
        <v>7.9320113314447598</v>
      </c>
      <c r="H10" s="153">
        <f>'Projekt Hilfe'!G17</f>
        <v>1.4471780028943559</v>
      </c>
      <c r="I10" s="153">
        <f>'Projekt Hilfe'!H17</f>
        <v>3.1578947368421053</v>
      </c>
      <c r="J10" s="153">
        <f>'Projekt Hilfe'!I17</f>
        <v>4.3284932908353992</v>
      </c>
      <c r="K10" s="153">
        <f>'Projekt Hilfe'!J17</f>
        <v>4.6472720513058832</v>
      </c>
      <c r="L10" s="153">
        <f>'Projekt Hilfe'!K17</f>
        <v>4.1597337770382694</v>
      </c>
      <c r="M10" s="153">
        <f>'Projekt Hilfe'!L17</f>
        <v>2.7686770338240043</v>
      </c>
      <c r="N10" s="153">
        <f>'Projekt Hilfe'!M17</f>
        <v>1.2545870840259701</v>
      </c>
      <c r="O10" s="153">
        <f>'Projekt Hilfe'!N17</f>
        <v>75</v>
      </c>
      <c r="P10" s="153">
        <f>'Projekt Hilfe'!O17</f>
        <v>33.333333333333336</v>
      </c>
      <c r="Q10" s="153">
        <f>'Projekt Hilfe'!P17</f>
        <v>58.333333333333336</v>
      </c>
      <c r="R10" s="153">
        <f>'Projekt Hilfe'!Q17</f>
        <v>33.333333333333336</v>
      </c>
      <c r="S10" s="153">
        <f>'Projekt Hilfe'!R17</f>
        <v>50</v>
      </c>
      <c r="T10" s="153">
        <f>'Projekt Hilfe'!S17</f>
        <v>5.3908355795148246</v>
      </c>
      <c r="U10" s="153">
        <f>'Projekt Hilfe'!T17</f>
        <v>2.9850746268656718</v>
      </c>
      <c r="V10" s="153">
        <f>'Projekt Hilfe'!U17</f>
        <v>2.9339853300733498</v>
      </c>
      <c r="W10" s="153">
        <f>'Projekt Hilfe'!V17</f>
        <v>108.33333333333334</v>
      </c>
      <c r="X10" s="153">
        <f>'Projekt Hilfe'!W17</f>
        <v>3.3694344163658241</v>
      </c>
      <c r="Y10" s="153">
        <f>'Projekt Hilfe'!X17</f>
        <v>4.9155145929339481</v>
      </c>
      <c r="Z10" s="153">
        <f>'Projekt Hilfe'!Y17</f>
        <v>3.3739456419868792</v>
      </c>
      <c r="AA10" s="153">
        <f>'Projekt Hilfe'!Z17</f>
        <v>3.0667007411193459</v>
      </c>
      <c r="AB10" s="153">
        <f>'Projekt Hilfe'!AA17</f>
        <v>3.3846084591857681</v>
      </c>
      <c r="AC10" s="153">
        <f>'Projekt Hilfe'!AB17</f>
        <v>4.4198895027624312</v>
      </c>
      <c r="AD10" s="153">
        <f>'Projekt Hilfe'!AC17</f>
        <v>116.66666666666667</v>
      </c>
      <c r="AE10" s="153">
        <f>'Projekt Hilfe'!AD17</f>
        <v>3.7899296155928535</v>
      </c>
      <c r="AF10" s="153">
        <f>'Projekt Hilfe'!AE17</f>
        <v>12.85181617276219</v>
      </c>
      <c r="AG10" s="153">
        <f>'Projekt Hilfe'!AF17</f>
        <v>6.3331222292590246</v>
      </c>
      <c r="AH10" s="153">
        <f>'Projekt Hilfe'!AG17</f>
        <v>3.2362099968037032</v>
      </c>
      <c r="AI10" s="153">
        <f>'Projekt Hilfe'!AH17</f>
        <v>2.6462484488573672</v>
      </c>
      <c r="AJ10" s="153">
        <f>'Projekt Hilfe'!AI17</f>
        <v>7.0247570938514343</v>
      </c>
      <c r="AK10" s="153">
        <f>'Projekt Hilfe'!AJ17</f>
        <v>183.33333333333334</v>
      </c>
      <c r="AL10" s="153">
        <f>'Projekt Hilfe'!AK17</f>
        <v>0</v>
      </c>
      <c r="AM10" s="153">
        <f>'Projekt Hilfe'!AL17</f>
        <v>0</v>
      </c>
      <c r="AN10" s="153">
        <f>'Projekt Hilfe'!AM17</f>
        <v>5.7357080624710379</v>
      </c>
      <c r="AO10" s="153">
        <f>'Projekt Hilfe'!AN17</f>
        <v>5.7471264367816088</v>
      </c>
      <c r="AP10" s="153">
        <f>'Projekt Hilfe'!AO17</f>
        <v>41.666666666666671</v>
      </c>
      <c r="AQ10" s="153">
        <f>'Projekt Hilfe'!AP17</f>
        <v>2.8628685943315202</v>
      </c>
      <c r="AR10" s="153">
        <f>'Projekt Hilfe'!AQ17</f>
        <v>5.9113300492610845</v>
      </c>
      <c r="AS10" s="153">
        <f>'Projekt Hilfe'!AR17</f>
        <v>2.9143897996357011</v>
      </c>
      <c r="AT10" s="153">
        <f>'Projekt Hilfe'!AS17</f>
        <v>5.764138928429281</v>
      </c>
      <c r="AU10" s="153">
        <f>'Projekt Hilfe'!AT17</f>
        <v>100</v>
      </c>
      <c r="AV10" s="153">
        <f>'Projekt Hilfe'!AU17</f>
        <v>100</v>
      </c>
      <c r="AW10" s="153">
        <f>'Projekt Hilfe'!AV17</f>
        <v>5.8926803834909247</v>
      </c>
      <c r="AX10" s="153">
        <f>'Projekt Hilfe'!AW17</f>
        <v>4.43213296398892</v>
      </c>
      <c r="AY10" s="153">
        <f>'Projekt Hilfe'!AX17</f>
        <v>5.342237061769616</v>
      </c>
      <c r="AZ10" s="153">
        <f>'Projekt Hilfe'!AY17</f>
        <v>0</v>
      </c>
      <c r="BA10" s="153">
        <f>'Projekt Hilfe'!AZ17</f>
        <v>0</v>
      </c>
      <c r="BB10" s="153">
        <f>'Projekt Hilfe'!BA17</f>
        <v>4.3204320432043204</v>
      </c>
      <c r="BC10" s="153">
        <f>'Projekt Hilfe'!BB17</f>
        <v>1.4509532951773245</v>
      </c>
      <c r="BD10" s="153">
        <f>'Projekt Hilfe'!BC17</f>
        <v>1.2351747227520642</v>
      </c>
      <c r="BE10" s="153">
        <f>'Projekt Hilfe'!BD17</f>
        <v>1.4148232674930235</v>
      </c>
      <c r="BF10" s="153">
        <f>'Projekt Hilfe'!BE17</f>
        <v>50</v>
      </c>
    </row>
    <row r="11" spans="1:59" s="169" customFormat="1" x14ac:dyDescent="0.25">
      <c r="A11" s="56"/>
      <c r="B11" s="57" t="s">
        <v>552</v>
      </c>
      <c r="C11" s="155">
        <f>'Projekt Hilfe'!B18</f>
        <v>34</v>
      </c>
      <c r="D11" s="155">
        <f>'Projekt Hilfe'!C18</f>
        <v>38</v>
      </c>
      <c r="E11" s="155">
        <f>'Projekt Hilfe'!D18</f>
        <v>32</v>
      </c>
      <c r="F11" s="155">
        <f>'Projekt Hilfe'!E18</f>
        <v>24</v>
      </c>
      <c r="G11" s="155">
        <f>'Projekt Hilfe'!F18</f>
        <v>14</v>
      </c>
      <c r="H11" s="155">
        <f>'Projekt Hilfe'!G18</f>
        <v>49</v>
      </c>
      <c r="I11" s="155">
        <f>'Projekt Hilfe'!H18</f>
        <v>40</v>
      </c>
      <c r="J11" s="155">
        <f>'Projekt Hilfe'!I18</f>
        <v>29</v>
      </c>
      <c r="K11" s="155">
        <f>'Projekt Hilfe'!J18</f>
        <v>26</v>
      </c>
      <c r="L11" s="155">
        <f>'Projekt Hilfe'!K18</f>
        <v>31</v>
      </c>
      <c r="M11" s="155">
        <f>'Projekt Hilfe'!L18</f>
        <v>46</v>
      </c>
      <c r="N11" s="155">
        <f>'Projekt Hilfe'!M18</f>
        <v>51</v>
      </c>
      <c r="O11" s="155">
        <f>'Projekt Hilfe'!N18</f>
        <v>6</v>
      </c>
      <c r="P11" s="155">
        <f>'Projekt Hilfe'!O18</f>
        <v>11</v>
      </c>
      <c r="Q11" s="155">
        <f>'Projekt Hilfe'!P18</f>
        <v>7</v>
      </c>
      <c r="R11" s="155">
        <f>'Projekt Hilfe'!Q18</f>
        <v>11</v>
      </c>
      <c r="S11" s="155">
        <f>'Projekt Hilfe'!R18</f>
        <v>8</v>
      </c>
      <c r="T11" s="155">
        <f>'Projekt Hilfe'!S18</f>
        <v>22</v>
      </c>
      <c r="U11" s="155">
        <f>'Projekt Hilfe'!T18</f>
        <v>42</v>
      </c>
      <c r="V11" s="155">
        <f>'Projekt Hilfe'!U18</f>
        <v>43</v>
      </c>
      <c r="W11" s="155">
        <f>'Projekt Hilfe'!V18</f>
        <v>3</v>
      </c>
      <c r="X11" s="155">
        <f>'Projekt Hilfe'!W18</f>
        <v>37</v>
      </c>
      <c r="Y11" s="155">
        <f>'Projekt Hilfe'!X18</f>
        <v>25</v>
      </c>
      <c r="Z11" s="155">
        <f>'Projekt Hilfe'!Y18</f>
        <v>36</v>
      </c>
      <c r="AA11" s="155">
        <f>'Projekt Hilfe'!Z18</f>
        <v>41</v>
      </c>
      <c r="AB11" s="155">
        <f>'Projekt Hilfe'!AA18</f>
        <v>35</v>
      </c>
      <c r="AC11" s="155">
        <f>'Projekt Hilfe'!AB18</f>
        <v>28</v>
      </c>
      <c r="AD11" s="155">
        <f>'Projekt Hilfe'!AC18</f>
        <v>2</v>
      </c>
      <c r="AE11" s="155">
        <f>'Projekt Hilfe'!AD18</f>
        <v>33</v>
      </c>
      <c r="AF11" s="155">
        <f>'Projekt Hilfe'!AE18</f>
        <v>13</v>
      </c>
      <c r="AG11" s="155">
        <f>'Projekt Hilfe'!AF18</f>
        <v>16</v>
      </c>
      <c r="AH11" s="155">
        <f>'Projekt Hilfe'!AG18</f>
        <v>39</v>
      </c>
      <c r="AI11" s="155">
        <f>'Projekt Hilfe'!AH18</f>
        <v>47</v>
      </c>
      <c r="AJ11" s="155">
        <f>'Projekt Hilfe'!AI18</f>
        <v>15</v>
      </c>
      <c r="AK11" s="155">
        <f>'Projekt Hilfe'!AJ18</f>
        <v>1</v>
      </c>
      <c r="AL11" s="155" t="str">
        <f>'Projekt Hilfe'!AK18</f>
        <v/>
      </c>
      <c r="AM11" s="155" t="str">
        <f>'Projekt Hilfe'!AL18</f>
        <v/>
      </c>
      <c r="AN11" s="155">
        <f>'Projekt Hilfe'!AM18</f>
        <v>21</v>
      </c>
      <c r="AO11" s="155">
        <f>'Projekt Hilfe'!AN18</f>
        <v>20</v>
      </c>
      <c r="AP11" s="155">
        <f>'Projekt Hilfe'!AO18</f>
        <v>10</v>
      </c>
      <c r="AQ11" s="155">
        <f>'Projekt Hilfe'!AP18</f>
        <v>45</v>
      </c>
      <c r="AR11" s="155">
        <f>'Projekt Hilfe'!AQ18</f>
        <v>17</v>
      </c>
      <c r="AS11" s="155">
        <f>'Projekt Hilfe'!AR18</f>
        <v>44</v>
      </c>
      <c r="AT11" s="155">
        <f>'Projekt Hilfe'!AS18</f>
        <v>19</v>
      </c>
      <c r="AU11" s="155">
        <f>'Projekt Hilfe'!AT18</f>
        <v>4</v>
      </c>
      <c r="AV11" s="155">
        <f>'Projekt Hilfe'!AU18</f>
        <v>4</v>
      </c>
      <c r="AW11" s="155">
        <f>'Projekt Hilfe'!AV18</f>
        <v>18</v>
      </c>
      <c r="AX11" s="155">
        <f>'Projekt Hilfe'!AW18</f>
        <v>27</v>
      </c>
      <c r="AY11" s="155">
        <f>'Projekt Hilfe'!AX18</f>
        <v>23</v>
      </c>
      <c r="AZ11" s="155" t="str">
        <f>'Projekt Hilfe'!AY18</f>
        <v/>
      </c>
      <c r="BA11" s="155" t="str">
        <f>'Projekt Hilfe'!AZ18</f>
        <v/>
      </c>
      <c r="BB11" s="155">
        <f>'Projekt Hilfe'!BA18</f>
        <v>30</v>
      </c>
      <c r="BC11" s="155">
        <f>'Projekt Hilfe'!BB18</f>
        <v>48</v>
      </c>
      <c r="BD11" s="155">
        <f>'Projekt Hilfe'!BC18</f>
        <v>52</v>
      </c>
      <c r="BE11" s="155">
        <f>'Projekt Hilfe'!BD18</f>
        <v>50</v>
      </c>
      <c r="BF11" s="155">
        <f>'Projekt Hilfe'!BE18</f>
        <v>8</v>
      </c>
    </row>
    <row r="12" spans="1:59" s="169" customFormat="1" x14ac:dyDescent="0.25">
      <c r="A12" s="56"/>
      <c r="B12" s="57" t="s">
        <v>599</v>
      </c>
      <c r="C12" s="153">
        <f>'Projekt Hilfe'!B64</f>
        <v>3.6866359447004609</v>
      </c>
      <c r="D12" s="153">
        <f>'Projekt Hilfe'!C64</f>
        <v>243.36381403982915</v>
      </c>
      <c r="E12" s="153">
        <f>'Projekt Hilfe'!D64</f>
        <v>177.47583540458442</v>
      </c>
      <c r="F12" s="153">
        <f>'Projekt Hilfe'!E64</f>
        <v>8.271288532237218</v>
      </c>
      <c r="G12" s="153">
        <f>'Projekt Hilfe'!F64</f>
        <v>34.598677998111434</v>
      </c>
      <c r="H12" s="153">
        <f>'Projekt Hilfe'!G64</f>
        <v>74.780511336227704</v>
      </c>
      <c r="I12" s="153">
        <f>'Projekt Hilfe'!H64</f>
        <v>3.1578947368421053</v>
      </c>
      <c r="J12" s="153">
        <f>'Projekt Hilfe'!I64</f>
        <v>228.1672596573797</v>
      </c>
      <c r="K12" s="153">
        <f>'Projekt Hilfe'!J64</f>
        <v>228.48603841785018</v>
      </c>
      <c r="L12" s="153">
        <f>'Projekt Hilfe'!K64</f>
        <v>4.1597337770382694</v>
      </c>
      <c r="M12" s="153">
        <f>'Projekt Hilfe'!L64</f>
        <v>2.7686770338240043</v>
      </c>
      <c r="N12" s="153">
        <f>'Projekt Hilfe'!M64</f>
        <v>3.4695287110851738</v>
      </c>
      <c r="O12" s="153">
        <f>'Projekt Hilfe'!N64</f>
        <v>75</v>
      </c>
      <c r="P12" s="153">
        <f>'Projekt Hilfe'!O64</f>
        <v>33.333333333333336</v>
      </c>
      <c r="Q12" s="153">
        <f>'Projekt Hilfe'!P64</f>
        <v>58.333333333333336</v>
      </c>
      <c r="R12" s="153">
        <f>'Projekt Hilfe'!Q64</f>
        <v>33.333333333333336</v>
      </c>
      <c r="S12" s="153">
        <f>'Projekt Hilfe'!R64</f>
        <v>50</v>
      </c>
      <c r="T12" s="153">
        <f>'Projekt Hilfe'!S64</f>
        <v>32.057502246181485</v>
      </c>
      <c r="U12" s="153">
        <f>'Projekt Hilfe'!T64</f>
        <v>2.9850746268656718</v>
      </c>
      <c r="V12" s="153">
        <f>'Projekt Hilfe'!U64</f>
        <v>2.9339853300733498</v>
      </c>
      <c r="W12" s="153">
        <f>'Projekt Hilfe'!V64</f>
        <v>108.33333333333334</v>
      </c>
      <c r="X12" s="153">
        <f>'Projekt Hilfe'!W64</f>
        <v>207.13110429241246</v>
      </c>
      <c r="Y12" s="153">
        <f>'Projekt Hilfe'!X64</f>
        <v>4.9155145929339481</v>
      </c>
      <c r="Z12" s="153">
        <f>'Projekt Hilfe'!Y64</f>
        <v>90.040612308653564</v>
      </c>
      <c r="AA12" s="153">
        <f>'Projekt Hilfe'!Z64</f>
        <v>83.066700741119348</v>
      </c>
      <c r="AB12" s="153">
        <f>'Projekt Hilfe'!AA64</f>
        <v>3.3846084591857681</v>
      </c>
      <c r="AC12" s="153">
        <f>'Projekt Hilfe'!AB64</f>
        <v>4.4198895027624312</v>
      </c>
      <c r="AD12" s="153">
        <f>'Projekt Hilfe'!AC64</f>
        <v>116.66666666666667</v>
      </c>
      <c r="AE12" s="153">
        <f>'Projekt Hilfe'!AD64</f>
        <v>325.07013989709418</v>
      </c>
      <c r="AF12" s="153">
        <f>'Projekt Hilfe'!AE64</f>
        <v>159.51848283942888</v>
      </c>
      <c r="AG12" s="153">
        <f>'Projekt Hilfe'!AF64</f>
        <v>6.3331222292590246</v>
      </c>
      <c r="AH12" s="153">
        <f>'Projekt Hilfe'!AG64</f>
        <v>63.236209996803701</v>
      </c>
      <c r="AI12" s="153">
        <f>'Projekt Hilfe'!AH64</f>
        <v>2.6462484488573672</v>
      </c>
      <c r="AJ12" s="153">
        <f>'Projekt Hilfe'!AI64</f>
        <v>7.0247570938514343</v>
      </c>
      <c r="AK12" s="153">
        <f>'Projekt Hilfe'!AJ64</f>
        <v>183.33333333333334</v>
      </c>
      <c r="AL12" s="153">
        <f>'Projekt Hilfe'!AK64</f>
        <v>23.441424837482622</v>
      </c>
      <c r="AM12" s="153">
        <f>'Projekt Hilfe'!AL64</f>
        <v>0</v>
      </c>
      <c r="AN12" s="153">
        <f>'Projekt Hilfe'!AM64</f>
        <v>0</v>
      </c>
      <c r="AO12" s="153">
        <f>'Projekt Hilfe'!AN64</f>
        <v>7.9620680638408121</v>
      </c>
      <c r="AP12" s="153">
        <f>'Projekt Hilfe'!AO64</f>
        <v>41.666666666666671</v>
      </c>
      <c r="AQ12" s="153">
        <f>'Projekt Hilfe'!AP64</f>
        <v>88.518602774065613</v>
      </c>
      <c r="AR12" s="153">
        <f>'Projekt Hilfe'!AQ64</f>
        <v>53.500298046704046</v>
      </c>
      <c r="AS12" s="153">
        <f>'Projekt Hilfe'!AR64</f>
        <v>36.247723132969035</v>
      </c>
      <c r="AT12" s="153">
        <f>'Projekt Hilfe'!AS64</f>
        <v>126.04559186663903</v>
      </c>
      <c r="AU12" s="153">
        <f>'Projekt Hilfe'!AT64</f>
        <v>100</v>
      </c>
      <c r="AV12" s="153">
        <f>'Projekt Hilfe'!AU64</f>
        <v>100</v>
      </c>
      <c r="AW12" s="153">
        <f>'Projekt Hilfe'!AV64</f>
        <v>68.346040976386405</v>
      </c>
      <c r="AX12" s="153">
        <f>'Projekt Hilfe'!AW64</f>
        <v>50.986297715453269</v>
      </c>
      <c r="AY12" s="153">
        <f>'Projekt Hilfe'!AX64</f>
        <v>5.342237061769616</v>
      </c>
      <c r="AZ12" s="153">
        <f>'Projekt Hilfe'!AY64</f>
        <v>4.2737896494156926</v>
      </c>
      <c r="BA12" s="153">
        <f>'Projekt Hilfe'!AZ64</f>
        <v>3.2053422370617697</v>
      </c>
      <c r="BB12" s="153">
        <f>'Projekt Hilfe'!BA64</f>
        <v>4.3204320432043204</v>
      </c>
      <c r="BC12" s="153">
        <f>'Projekt Hilfe'!BB64</f>
        <v>3.5679520542632184</v>
      </c>
      <c r="BD12" s="153">
        <f>'Projekt Hilfe'!BC64</f>
        <v>1.2351747227520642</v>
      </c>
      <c r="BE12" s="153">
        <f>'Projekt Hilfe'!BD64</f>
        <v>1.4148232674930235</v>
      </c>
      <c r="BF12" s="153">
        <f>'Projekt Hilfe'!BE64</f>
        <v>0</v>
      </c>
    </row>
    <row r="13" spans="1:59" s="169" customFormat="1" x14ac:dyDescent="0.25">
      <c r="A13" s="56"/>
      <c r="B13" s="57" t="s">
        <v>600</v>
      </c>
      <c r="C13" s="155">
        <f>'Projekt Hilfe'!B65</f>
        <v>42</v>
      </c>
      <c r="D13" s="155">
        <f>'Projekt Hilfe'!C65</f>
        <v>2</v>
      </c>
      <c r="E13" s="155">
        <f>'Projekt Hilfe'!D65</f>
        <v>7</v>
      </c>
      <c r="F13" s="155">
        <f>'Projekt Hilfe'!E65</f>
        <v>32</v>
      </c>
      <c r="G13" s="155">
        <f>'Projekt Hilfe'!F65</f>
        <v>27</v>
      </c>
      <c r="H13" s="155">
        <f>'Projekt Hilfe'!G65</f>
        <v>18</v>
      </c>
      <c r="I13" s="155">
        <f>'Projekt Hilfe'!H65</f>
        <v>47</v>
      </c>
      <c r="J13" s="155">
        <f>'Projekt Hilfe'!I65</f>
        <v>4</v>
      </c>
      <c r="K13" s="155">
        <f>'Projekt Hilfe'!J65</f>
        <v>3</v>
      </c>
      <c r="L13" s="155">
        <f>'Projekt Hilfe'!K65</f>
        <v>41</v>
      </c>
      <c r="M13" s="155">
        <f>'Projekt Hilfe'!L65</f>
        <v>50</v>
      </c>
      <c r="N13" s="155">
        <f>'Projekt Hilfe'!M65</f>
        <v>44</v>
      </c>
      <c r="O13" s="155">
        <f>'Projekt Hilfe'!N65</f>
        <v>17</v>
      </c>
      <c r="P13" s="155">
        <f>'Projekt Hilfe'!O65</f>
        <v>28</v>
      </c>
      <c r="Q13" s="155">
        <f>'Projekt Hilfe'!P65</f>
        <v>21</v>
      </c>
      <c r="R13" s="155">
        <f>'Projekt Hilfe'!Q65</f>
        <v>28</v>
      </c>
      <c r="S13" s="155">
        <f>'Projekt Hilfe'!R65</f>
        <v>24</v>
      </c>
      <c r="T13" s="155">
        <f>'Projekt Hilfe'!S65</f>
        <v>30</v>
      </c>
      <c r="U13" s="155">
        <f>'Projekt Hilfe'!T65</f>
        <v>48</v>
      </c>
      <c r="V13" s="155">
        <f>'Projekt Hilfe'!U65</f>
        <v>49</v>
      </c>
      <c r="W13" s="155">
        <f>'Projekt Hilfe'!V65</f>
        <v>11</v>
      </c>
      <c r="X13" s="155">
        <f>'Projekt Hilfe'!W65</f>
        <v>5</v>
      </c>
      <c r="Y13" s="155">
        <f>'Projekt Hilfe'!X65</f>
        <v>37</v>
      </c>
      <c r="Z13" s="155">
        <f>'Projekt Hilfe'!Y65</f>
        <v>14</v>
      </c>
      <c r="AA13" s="155">
        <f>'Projekt Hilfe'!Z65</f>
        <v>16</v>
      </c>
      <c r="AB13" s="155">
        <f>'Projekt Hilfe'!AA65</f>
        <v>45</v>
      </c>
      <c r="AC13" s="155">
        <f>'Projekt Hilfe'!AB65</f>
        <v>38</v>
      </c>
      <c r="AD13" s="155">
        <f>'Projekt Hilfe'!AC65</f>
        <v>10</v>
      </c>
      <c r="AE13" s="155">
        <f>'Projekt Hilfe'!AD65</f>
        <v>1</v>
      </c>
      <c r="AF13" s="155">
        <f>'Projekt Hilfe'!AE65</f>
        <v>8</v>
      </c>
      <c r="AG13" s="155">
        <f>'Projekt Hilfe'!AF65</f>
        <v>35</v>
      </c>
      <c r="AH13" s="155">
        <f>'Projekt Hilfe'!AG65</f>
        <v>20</v>
      </c>
      <c r="AI13" s="155">
        <f>'Projekt Hilfe'!AH65</f>
        <v>51</v>
      </c>
      <c r="AJ13" s="155">
        <f>'Projekt Hilfe'!AI65</f>
        <v>34</v>
      </c>
      <c r="AK13" s="155">
        <f>'Projekt Hilfe'!AJ65</f>
        <v>6</v>
      </c>
      <c r="AL13" s="155">
        <f>'Projekt Hilfe'!AK65</f>
        <v>31</v>
      </c>
      <c r="AM13" s="155">
        <f>'Projekt Hilfe'!AL65</f>
        <v>54</v>
      </c>
      <c r="AN13" s="155">
        <f>'Projekt Hilfe'!AM65</f>
        <v>54</v>
      </c>
      <c r="AO13" s="155">
        <f>'Projekt Hilfe'!AN65</f>
        <v>33</v>
      </c>
      <c r="AP13" s="155">
        <f>'Projekt Hilfe'!AO65</f>
        <v>25</v>
      </c>
      <c r="AQ13" s="155">
        <f>'Projekt Hilfe'!AP65</f>
        <v>15</v>
      </c>
      <c r="AR13" s="155">
        <f>'Projekt Hilfe'!AQ65</f>
        <v>22</v>
      </c>
      <c r="AS13" s="155">
        <f>'Projekt Hilfe'!AR65</f>
        <v>26</v>
      </c>
      <c r="AT13" s="155">
        <f>'Projekt Hilfe'!AS65</f>
        <v>9</v>
      </c>
      <c r="AU13" s="155">
        <f>'Projekt Hilfe'!AT65</f>
        <v>12</v>
      </c>
      <c r="AV13" s="155">
        <f>'Projekt Hilfe'!AU65</f>
        <v>12</v>
      </c>
      <c r="AW13" s="155">
        <f>'Projekt Hilfe'!AV65</f>
        <v>19</v>
      </c>
      <c r="AX13" s="155">
        <f>'Projekt Hilfe'!AW65</f>
        <v>23</v>
      </c>
      <c r="AY13" s="155">
        <f>'Projekt Hilfe'!AX65</f>
        <v>36</v>
      </c>
      <c r="AZ13" s="155">
        <f>'Projekt Hilfe'!AY65</f>
        <v>40</v>
      </c>
      <c r="BA13" s="155">
        <f>'Projekt Hilfe'!AZ65</f>
        <v>46</v>
      </c>
      <c r="BB13" s="155">
        <f>'Projekt Hilfe'!BA65</f>
        <v>39</v>
      </c>
      <c r="BC13" s="155">
        <f>'Projekt Hilfe'!BB65</f>
        <v>43</v>
      </c>
      <c r="BD13" s="155">
        <f>'Projekt Hilfe'!BC65</f>
        <v>53</v>
      </c>
      <c r="BE13" s="155">
        <f>'Projekt Hilfe'!BD65</f>
        <v>52</v>
      </c>
      <c r="BF13" s="155">
        <f>'Projekt Hilfe'!BE65</f>
        <v>54</v>
      </c>
    </row>
    <row r="14" spans="1:59" s="92" customFormat="1" ht="7.5" customHeight="1" x14ac:dyDescent="0.25">
      <c r="A14" s="96"/>
      <c r="B14" s="91"/>
    </row>
    <row r="15" spans="1:59" s="95" customFormat="1" x14ac:dyDescent="0.25">
      <c r="A15" s="403" t="s">
        <v>407</v>
      </c>
      <c r="B15" s="50" t="s">
        <v>383</v>
      </c>
      <c r="C15" s="64">
        <v>6</v>
      </c>
      <c r="D15" s="51">
        <v>4</v>
      </c>
      <c r="E15" s="51">
        <v>4</v>
      </c>
      <c r="F15" s="51">
        <v>4</v>
      </c>
      <c r="G15" s="51">
        <v>8</v>
      </c>
      <c r="H15" s="51">
        <v>12</v>
      </c>
      <c r="I15" s="51">
        <v>8</v>
      </c>
      <c r="J15" s="51">
        <v>10</v>
      </c>
      <c r="K15" s="51">
        <v>10</v>
      </c>
      <c r="L15" s="51">
        <v>4</v>
      </c>
      <c r="M15" s="51">
        <v>4</v>
      </c>
      <c r="N15" s="51">
        <v>12</v>
      </c>
      <c r="O15" s="51">
        <v>2</v>
      </c>
      <c r="P15" s="51">
        <v>2</v>
      </c>
      <c r="Q15" s="51">
        <v>2</v>
      </c>
      <c r="R15" s="51">
        <v>2</v>
      </c>
      <c r="S15" s="51">
        <v>2</v>
      </c>
      <c r="T15" s="51">
        <v>2</v>
      </c>
      <c r="U15" s="51">
        <v>4</v>
      </c>
      <c r="V15" s="51">
        <v>8</v>
      </c>
      <c r="W15" s="51">
        <v>2</v>
      </c>
      <c r="X15" s="51">
        <v>6</v>
      </c>
      <c r="Y15" s="51">
        <v>6</v>
      </c>
      <c r="Z15" s="51">
        <v>6</v>
      </c>
      <c r="AA15" s="51">
        <v>4</v>
      </c>
      <c r="AB15" s="51">
        <v>2</v>
      </c>
      <c r="AC15" s="51">
        <v>4</v>
      </c>
      <c r="AD15" s="51">
        <v>2</v>
      </c>
      <c r="AE15" s="51">
        <v>4</v>
      </c>
      <c r="AF15" s="51">
        <v>8</v>
      </c>
      <c r="AG15" s="51">
        <v>6</v>
      </c>
      <c r="AH15" s="51">
        <v>4</v>
      </c>
      <c r="AI15" s="51">
        <v>12</v>
      </c>
      <c r="AJ15" s="51">
        <v>6</v>
      </c>
      <c r="AK15" s="51">
        <v>2</v>
      </c>
      <c r="AL15" s="51">
        <v>4</v>
      </c>
      <c r="AM15" s="51">
        <v>4</v>
      </c>
      <c r="AN15" s="51">
        <v>6</v>
      </c>
      <c r="AO15" s="51">
        <v>2</v>
      </c>
      <c r="AP15" s="51">
        <v>2</v>
      </c>
      <c r="AQ15" s="51">
        <v>8</v>
      </c>
      <c r="AR15" s="51">
        <v>2</v>
      </c>
      <c r="AS15" s="51">
        <v>6</v>
      </c>
      <c r="AT15" s="51">
        <v>10</v>
      </c>
      <c r="AU15" s="51">
        <v>2</v>
      </c>
      <c r="AV15" s="51">
        <v>2</v>
      </c>
      <c r="AW15" s="51">
        <v>2</v>
      </c>
      <c r="AX15" s="51">
        <v>2</v>
      </c>
      <c r="AY15" s="51">
        <v>12</v>
      </c>
      <c r="AZ15" s="51">
        <v>6</v>
      </c>
      <c r="BA15" s="51">
        <v>6</v>
      </c>
      <c r="BB15" s="51">
        <v>6</v>
      </c>
      <c r="BC15" s="51">
        <v>8</v>
      </c>
      <c r="BD15" s="51">
        <v>8</v>
      </c>
      <c r="BE15" s="51">
        <v>12</v>
      </c>
      <c r="BF15" s="51">
        <v>2</v>
      </c>
      <c r="BG15" s="102"/>
    </row>
    <row r="16" spans="1:59" s="49" customFormat="1" x14ac:dyDescent="0.25">
      <c r="A16" s="403"/>
      <c r="B16" s="48" t="s">
        <v>384</v>
      </c>
      <c r="C16" s="68">
        <v>2</v>
      </c>
      <c r="D16" s="49">
        <v>2</v>
      </c>
      <c r="E16" s="49">
        <v>2</v>
      </c>
      <c r="F16" s="49">
        <v>2</v>
      </c>
      <c r="G16" s="49">
        <v>12</v>
      </c>
      <c r="H16" s="49">
        <v>8</v>
      </c>
      <c r="I16" s="49">
        <v>6</v>
      </c>
      <c r="J16" s="49">
        <v>4</v>
      </c>
      <c r="K16" s="49">
        <v>4</v>
      </c>
      <c r="L16" s="49">
        <v>10</v>
      </c>
      <c r="M16" s="49">
        <v>4</v>
      </c>
      <c r="N16" s="49">
        <v>4</v>
      </c>
      <c r="O16" s="49">
        <v>0</v>
      </c>
      <c r="P16" s="49">
        <v>0</v>
      </c>
      <c r="Q16" s="49">
        <v>0</v>
      </c>
      <c r="R16" s="49">
        <v>0</v>
      </c>
      <c r="S16" s="49">
        <v>0</v>
      </c>
      <c r="T16" s="49">
        <v>0</v>
      </c>
      <c r="U16" s="49">
        <v>6</v>
      </c>
      <c r="V16" s="49">
        <v>6</v>
      </c>
      <c r="W16" s="49">
        <v>0</v>
      </c>
      <c r="X16" s="49">
        <v>2</v>
      </c>
      <c r="Y16" s="49">
        <v>2</v>
      </c>
      <c r="Z16" s="49">
        <v>2</v>
      </c>
      <c r="AA16" s="49">
        <v>1</v>
      </c>
      <c r="AB16" s="49">
        <v>8</v>
      </c>
      <c r="AC16" s="49">
        <v>2</v>
      </c>
      <c r="AD16" s="49">
        <v>0</v>
      </c>
      <c r="AE16" s="49">
        <v>2</v>
      </c>
      <c r="AF16" s="49">
        <v>4</v>
      </c>
      <c r="AG16" s="49">
        <v>4</v>
      </c>
      <c r="AH16" s="49">
        <v>2</v>
      </c>
      <c r="AI16" s="49">
        <v>8</v>
      </c>
      <c r="AJ16" s="49">
        <v>4</v>
      </c>
      <c r="AK16" s="49">
        <v>0</v>
      </c>
      <c r="AL16" s="49">
        <v>2</v>
      </c>
      <c r="AM16" s="49">
        <v>2</v>
      </c>
      <c r="AN16" s="49">
        <v>4</v>
      </c>
      <c r="AO16" s="49">
        <v>0</v>
      </c>
      <c r="AP16" s="49">
        <v>0</v>
      </c>
      <c r="AQ16" s="49">
        <v>4</v>
      </c>
      <c r="AR16" s="49">
        <v>6</v>
      </c>
      <c r="AS16" s="49">
        <v>0</v>
      </c>
      <c r="AT16" s="49">
        <v>4</v>
      </c>
      <c r="AU16" s="49">
        <v>0</v>
      </c>
      <c r="AV16" s="49">
        <v>0</v>
      </c>
      <c r="AW16" s="49">
        <v>2</v>
      </c>
      <c r="AX16" s="49">
        <v>1</v>
      </c>
      <c r="AY16" s="49">
        <v>4</v>
      </c>
      <c r="AZ16" s="49">
        <v>4</v>
      </c>
      <c r="BA16" s="49">
        <v>4</v>
      </c>
      <c r="BB16" s="49">
        <v>2</v>
      </c>
      <c r="BC16" s="49">
        <v>4</v>
      </c>
      <c r="BD16" s="49">
        <v>4</v>
      </c>
      <c r="BE16" s="49">
        <v>8</v>
      </c>
      <c r="BF16" s="49">
        <v>0</v>
      </c>
      <c r="BG16" s="103"/>
    </row>
    <row r="17" spans="1:59" s="51" customFormat="1" x14ac:dyDescent="0.25">
      <c r="A17" s="403"/>
      <c r="B17" s="50" t="s">
        <v>385</v>
      </c>
      <c r="C17" s="64">
        <v>0</v>
      </c>
      <c r="D17" s="51">
        <v>0</v>
      </c>
      <c r="E17" s="51">
        <v>12</v>
      </c>
      <c r="F17" s="51">
        <v>8</v>
      </c>
      <c r="G17" s="51">
        <v>0</v>
      </c>
      <c r="H17" s="51">
        <v>0</v>
      </c>
      <c r="I17" s="51">
        <v>0</v>
      </c>
      <c r="J17" s="51">
        <v>20</v>
      </c>
      <c r="K17" s="51">
        <v>18</v>
      </c>
      <c r="L17" s="51">
        <v>2</v>
      </c>
      <c r="M17" s="51">
        <v>0</v>
      </c>
      <c r="N17" s="51">
        <v>24</v>
      </c>
      <c r="O17" s="51">
        <v>0</v>
      </c>
      <c r="P17" s="51">
        <v>0</v>
      </c>
      <c r="Q17" s="51">
        <v>0</v>
      </c>
      <c r="R17" s="51">
        <v>0</v>
      </c>
      <c r="S17" s="51">
        <v>0</v>
      </c>
      <c r="T17" s="51">
        <v>0</v>
      </c>
      <c r="U17" s="51">
        <v>0</v>
      </c>
      <c r="V17" s="51">
        <v>0</v>
      </c>
      <c r="W17" s="51">
        <v>0</v>
      </c>
      <c r="X17" s="51">
        <v>0</v>
      </c>
      <c r="Y17" s="51">
        <v>0</v>
      </c>
      <c r="Z17" s="51">
        <v>0</v>
      </c>
      <c r="AA17" s="51">
        <v>8</v>
      </c>
      <c r="AB17" s="51">
        <v>4</v>
      </c>
      <c r="AC17" s="51">
        <v>0</v>
      </c>
      <c r="AD17" s="51">
        <v>0</v>
      </c>
      <c r="AE17" s="51">
        <v>14</v>
      </c>
      <c r="AF17" s="51">
        <v>8</v>
      </c>
      <c r="AG17" s="51">
        <v>6</v>
      </c>
      <c r="AH17" s="51">
        <v>6</v>
      </c>
      <c r="AI17" s="51">
        <v>20</v>
      </c>
      <c r="AJ17" s="51">
        <v>8</v>
      </c>
      <c r="AK17" s="51">
        <v>0</v>
      </c>
      <c r="AL17" s="51">
        <v>2</v>
      </c>
      <c r="AM17" s="51">
        <v>12</v>
      </c>
      <c r="AN17" s="51">
        <v>8</v>
      </c>
      <c r="AO17" s="51">
        <v>4</v>
      </c>
      <c r="AP17" s="51">
        <v>0</v>
      </c>
      <c r="AQ17" s="51">
        <v>20</v>
      </c>
      <c r="AR17" s="51">
        <v>4</v>
      </c>
      <c r="AS17" s="51">
        <v>0</v>
      </c>
      <c r="AT17" s="51">
        <v>20</v>
      </c>
      <c r="AU17" s="51">
        <v>0</v>
      </c>
      <c r="AV17" s="51">
        <v>0</v>
      </c>
      <c r="AW17" s="51">
        <v>6</v>
      </c>
      <c r="AX17" s="51">
        <v>2</v>
      </c>
      <c r="AY17" s="51">
        <v>0</v>
      </c>
      <c r="AZ17" s="51">
        <v>0</v>
      </c>
      <c r="BA17" s="51">
        <v>0</v>
      </c>
      <c r="BB17" s="51">
        <v>0</v>
      </c>
      <c r="BC17" s="51">
        <v>24</v>
      </c>
      <c r="BD17" s="51">
        <v>16</v>
      </c>
      <c r="BE17" s="51">
        <v>20</v>
      </c>
      <c r="BF17" s="51">
        <v>0</v>
      </c>
      <c r="BG17" s="104"/>
    </row>
    <row r="18" spans="1:59" s="49" customFormat="1" x14ac:dyDescent="0.25">
      <c r="A18" s="403"/>
      <c r="B18" s="48" t="s">
        <v>386</v>
      </c>
      <c r="C18" s="68">
        <v>0</v>
      </c>
      <c r="D18" s="49">
        <v>0</v>
      </c>
      <c r="E18" s="49">
        <v>0</v>
      </c>
      <c r="F18" s="49">
        <v>0</v>
      </c>
      <c r="G18" s="49">
        <v>16</v>
      </c>
      <c r="H18" s="49">
        <v>12</v>
      </c>
      <c r="I18" s="49">
        <v>10</v>
      </c>
      <c r="J18" s="49">
        <v>0</v>
      </c>
      <c r="K18" s="49">
        <v>0</v>
      </c>
      <c r="L18" s="49">
        <v>0</v>
      </c>
      <c r="M18" s="49">
        <v>16</v>
      </c>
      <c r="N18" s="49">
        <v>0</v>
      </c>
      <c r="O18" s="49">
        <v>0</v>
      </c>
      <c r="P18" s="49">
        <v>0</v>
      </c>
      <c r="Q18" s="49">
        <v>0</v>
      </c>
      <c r="R18" s="49">
        <v>0</v>
      </c>
      <c r="S18" s="49">
        <v>0</v>
      </c>
      <c r="T18" s="49">
        <v>10</v>
      </c>
      <c r="U18" s="49">
        <v>6</v>
      </c>
      <c r="V18" s="49">
        <v>8</v>
      </c>
      <c r="W18" s="49">
        <v>0</v>
      </c>
      <c r="X18" s="49">
        <v>0</v>
      </c>
      <c r="Y18" s="49">
        <v>0</v>
      </c>
      <c r="Z18" s="49">
        <v>0</v>
      </c>
      <c r="AA18" s="49">
        <v>2</v>
      </c>
      <c r="AB18" s="49">
        <v>0</v>
      </c>
      <c r="AC18" s="49">
        <v>0</v>
      </c>
      <c r="AD18" s="49">
        <v>0</v>
      </c>
      <c r="AE18" s="49">
        <v>4</v>
      </c>
      <c r="AF18" s="49">
        <v>0</v>
      </c>
      <c r="AG18" s="49">
        <v>0</v>
      </c>
      <c r="AH18" s="49">
        <v>0</v>
      </c>
      <c r="AI18" s="49">
        <v>0</v>
      </c>
      <c r="AJ18" s="49">
        <v>0</v>
      </c>
      <c r="AK18" s="49">
        <v>0</v>
      </c>
      <c r="AL18" s="49">
        <v>0</v>
      </c>
      <c r="AM18" s="49">
        <v>0</v>
      </c>
      <c r="AN18" s="49">
        <v>4</v>
      </c>
      <c r="AO18" s="49">
        <v>0</v>
      </c>
      <c r="AP18" s="49">
        <v>0</v>
      </c>
      <c r="AQ18" s="49">
        <v>0</v>
      </c>
      <c r="AR18" s="49">
        <v>0</v>
      </c>
      <c r="AS18" s="49">
        <v>6</v>
      </c>
      <c r="AT18" s="49">
        <v>0</v>
      </c>
      <c r="AU18" s="49">
        <v>0</v>
      </c>
      <c r="AV18" s="49">
        <v>0</v>
      </c>
      <c r="AW18" s="49">
        <v>2</v>
      </c>
      <c r="AX18" s="49">
        <v>2</v>
      </c>
      <c r="AY18" s="49">
        <v>0</v>
      </c>
      <c r="AZ18" s="49">
        <v>0</v>
      </c>
      <c r="BA18" s="49">
        <v>0</v>
      </c>
      <c r="BB18" s="49">
        <v>0</v>
      </c>
      <c r="BC18" s="49">
        <v>0</v>
      </c>
      <c r="BD18" s="49">
        <v>0</v>
      </c>
      <c r="BE18" s="49">
        <v>0</v>
      </c>
      <c r="BF18" s="49">
        <v>0</v>
      </c>
      <c r="BG18" s="103"/>
    </row>
    <row r="19" spans="1:59" s="51" customFormat="1" x14ac:dyDescent="0.25">
      <c r="A19" s="403"/>
      <c r="B19" s="50" t="s">
        <v>387</v>
      </c>
      <c r="C19" s="64">
        <v>1</v>
      </c>
      <c r="D19" s="51">
        <v>4</v>
      </c>
      <c r="E19" s="51">
        <v>0</v>
      </c>
      <c r="F19" s="51">
        <v>0</v>
      </c>
      <c r="G19" s="51">
        <v>4</v>
      </c>
      <c r="H19" s="51">
        <v>6</v>
      </c>
      <c r="I19" s="51">
        <v>8</v>
      </c>
      <c r="J19" s="51">
        <v>0</v>
      </c>
      <c r="K19" s="51">
        <v>0</v>
      </c>
      <c r="L19" s="51">
        <v>0</v>
      </c>
      <c r="M19" s="51">
        <v>0</v>
      </c>
      <c r="N19" s="51">
        <v>0</v>
      </c>
      <c r="O19" s="51">
        <v>0</v>
      </c>
      <c r="P19" s="51">
        <v>0</v>
      </c>
      <c r="Q19" s="51">
        <v>0</v>
      </c>
      <c r="R19" s="51">
        <v>0</v>
      </c>
      <c r="S19" s="51">
        <v>0</v>
      </c>
      <c r="T19" s="51">
        <v>6</v>
      </c>
      <c r="U19" s="51">
        <v>6</v>
      </c>
      <c r="V19" s="51">
        <v>0</v>
      </c>
      <c r="W19" s="51">
        <v>0</v>
      </c>
      <c r="X19" s="51">
        <v>4</v>
      </c>
      <c r="Y19" s="51">
        <v>1</v>
      </c>
      <c r="Z19" s="51">
        <v>1</v>
      </c>
      <c r="AA19" s="51">
        <v>0</v>
      </c>
      <c r="AB19" s="51">
        <v>0</v>
      </c>
      <c r="AC19" s="51">
        <v>0</v>
      </c>
      <c r="AD19" s="51">
        <v>0</v>
      </c>
      <c r="AE19" s="51">
        <v>0</v>
      </c>
      <c r="AF19" s="51">
        <v>0</v>
      </c>
      <c r="AG19" s="51">
        <v>2</v>
      </c>
      <c r="AH19" s="51">
        <v>0</v>
      </c>
      <c r="AI19" s="51">
        <v>0</v>
      </c>
      <c r="AJ19" s="51">
        <v>0</v>
      </c>
      <c r="AK19" s="51">
        <v>0</v>
      </c>
      <c r="AL19" s="51">
        <v>1</v>
      </c>
      <c r="AM19" s="51">
        <v>0</v>
      </c>
      <c r="AN19" s="51">
        <v>5</v>
      </c>
      <c r="AO19" s="51">
        <v>5</v>
      </c>
      <c r="AP19" s="51">
        <v>0</v>
      </c>
      <c r="AQ19" s="51">
        <v>0</v>
      </c>
      <c r="AR19" s="51">
        <v>0</v>
      </c>
      <c r="AS19" s="51">
        <v>0</v>
      </c>
      <c r="AT19" s="51">
        <v>0</v>
      </c>
      <c r="AU19" s="51">
        <v>0</v>
      </c>
      <c r="AV19" s="51">
        <v>0</v>
      </c>
      <c r="AW19" s="51">
        <v>0</v>
      </c>
      <c r="AX19" s="51">
        <v>0</v>
      </c>
      <c r="AY19" s="51">
        <v>2</v>
      </c>
      <c r="AZ19" s="51">
        <v>0</v>
      </c>
      <c r="BA19" s="51">
        <v>1</v>
      </c>
      <c r="BB19" s="51">
        <v>0</v>
      </c>
      <c r="BC19" s="51">
        <v>2</v>
      </c>
      <c r="BD19" s="51">
        <v>6</v>
      </c>
      <c r="BE19" s="51">
        <v>0</v>
      </c>
      <c r="BF19" s="51">
        <v>0</v>
      </c>
      <c r="BG19" s="104"/>
    </row>
    <row r="20" spans="1:59" s="49" customFormat="1" x14ac:dyDescent="0.25">
      <c r="A20" s="403"/>
      <c r="B20" s="48" t="s">
        <v>388</v>
      </c>
      <c r="C20" s="68">
        <v>1</v>
      </c>
      <c r="D20" s="49">
        <v>4</v>
      </c>
      <c r="E20" s="49">
        <v>0</v>
      </c>
      <c r="F20" s="49">
        <v>0</v>
      </c>
      <c r="G20" s="49">
        <v>0</v>
      </c>
      <c r="H20" s="49">
        <v>0</v>
      </c>
      <c r="I20" s="49">
        <v>0</v>
      </c>
      <c r="J20" s="49">
        <v>0</v>
      </c>
      <c r="K20" s="49">
        <v>0</v>
      </c>
      <c r="L20" s="49">
        <v>0</v>
      </c>
      <c r="M20" s="49">
        <v>0</v>
      </c>
      <c r="N20" s="49">
        <v>0</v>
      </c>
      <c r="O20" s="49">
        <v>0</v>
      </c>
      <c r="P20" s="49">
        <v>0</v>
      </c>
      <c r="Q20" s="49">
        <v>0</v>
      </c>
      <c r="R20" s="49">
        <v>0</v>
      </c>
      <c r="S20" s="49">
        <v>0</v>
      </c>
      <c r="T20" s="49">
        <v>0</v>
      </c>
      <c r="U20" s="49">
        <v>0</v>
      </c>
      <c r="V20" s="49">
        <v>0</v>
      </c>
      <c r="W20" s="49">
        <v>0</v>
      </c>
      <c r="X20" s="49">
        <v>4</v>
      </c>
      <c r="Y20" s="49">
        <v>1</v>
      </c>
      <c r="Z20" s="49">
        <v>1</v>
      </c>
      <c r="AA20" s="49">
        <v>0</v>
      </c>
      <c r="AB20" s="49">
        <v>0</v>
      </c>
      <c r="AC20" s="49">
        <v>0</v>
      </c>
      <c r="AD20" s="49">
        <v>0</v>
      </c>
      <c r="AE20" s="49">
        <v>0</v>
      </c>
      <c r="AF20" s="49">
        <v>0</v>
      </c>
      <c r="AG20" s="49">
        <v>2</v>
      </c>
      <c r="AH20" s="49">
        <v>0</v>
      </c>
      <c r="AI20" s="49">
        <v>0</v>
      </c>
      <c r="AJ20" s="49">
        <v>0</v>
      </c>
      <c r="AK20" s="49">
        <v>0</v>
      </c>
      <c r="AL20" s="49">
        <v>1</v>
      </c>
      <c r="AM20" s="49">
        <v>0</v>
      </c>
      <c r="AN20" s="49">
        <v>5</v>
      </c>
      <c r="AO20" s="49">
        <v>5</v>
      </c>
      <c r="AP20" s="49">
        <v>0</v>
      </c>
      <c r="AQ20" s="49">
        <v>0</v>
      </c>
      <c r="AR20" s="49">
        <v>0</v>
      </c>
      <c r="AS20" s="49">
        <v>0</v>
      </c>
      <c r="AT20" s="49">
        <v>0</v>
      </c>
      <c r="AU20" s="49">
        <v>0</v>
      </c>
      <c r="AV20" s="49">
        <v>0</v>
      </c>
      <c r="AW20" s="49">
        <v>0</v>
      </c>
      <c r="AX20" s="49">
        <v>0</v>
      </c>
      <c r="AY20" s="49">
        <v>2</v>
      </c>
      <c r="AZ20" s="49">
        <v>0</v>
      </c>
      <c r="BA20" s="49">
        <v>1</v>
      </c>
      <c r="BB20" s="49">
        <v>0</v>
      </c>
      <c r="BC20" s="49">
        <v>2</v>
      </c>
      <c r="BD20" s="49">
        <v>6</v>
      </c>
      <c r="BE20" s="49">
        <v>0</v>
      </c>
      <c r="BF20" s="49">
        <v>0</v>
      </c>
      <c r="BG20" s="103"/>
    </row>
    <row r="21" spans="1:59" s="51" customFormat="1" x14ac:dyDescent="0.25">
      <c r="A21" s="403"/>
      <c r="B21" s="50" t="s">
        <v>389</v>
      </c>
      <c r="C21" s="64">
        <v>1</v>
      </c>
      <c r="D21" s="51">
        <v>4</v>
      </c>
      <c r="E21" s="51">
        <v>0</v>
      </c>
      <c r="F21" s="51">
        <v>0</v>
      </c>
      <c r="G21" s="51">
        <v>0</v>
      </c>
      <c r="H21" s="51">
        <v>2</v>
      </c>
      <c r="I21" s="51">
        <v>8</v>
      </c>
      <c r="J21" s="51">
        <v>0</v>
      </c>
      <c r="K21" s="51">
        <v>0</v>
      </c>
      <c r="L21" s="51">
        <v>0</v>
      </c>
      <c r="M21" s="51">
        <v>0</v>
      </c>
      <c r="N21" s="51">
        <v>0</v>
      </c>
      <c r="O21" s="51">
        <v>0</v>
      </c>
      <c r="P21" s="51">
        <v>0</v>
      </c>
      <c r="Q21" s="51">
        <v>0</v>
      </c>
      <c r="R21" s="51">
        <v>0</v>
      </c>
      <c r="S21" s="51">
        <v>0</v>
      </c>
      <c r="T21" s="51">
        <v>0</v>
      </c>
      <c r="U21" s="51">
        <v>0</v>
      </c>
      <c r="V21" s="51">
        <v>0</v>
      </c>
      <c r="W21" s="51">
        <v>0</v>
      </c>
      <c r="X21" s="51">
        <v>4</v>
      </c>
      <c r="Y21" s="51">
        <v>1</v>
      </c>
      <c r="Z21" s="51">
        <v>1</v>
      </c>
      <c r="AA21" s="51">
        <v>0</v>
      </c>
      <c r="AB21" s="51">
        <v>0</v>
      </c>
      <c r="AC21" s="51">
        <v>0</v>
      </c>
      <c r="AD21" s="51">
        <v>0</v>
      </c>
      <c r="AE21" s="51">
        <v>0</v>
      </c>
      <c r="AF21" s="51">
        <v>0</v>
      </c>
      <c r="AG21" s="51">
        <v>2</v>
      </c>
      <c r="AH21" s="51">
        <v>0</v>
      </c>
      <c r="AI21" s="51">
        <v>0</v>
      </c>
      <c r="AJ21" s="51">
        <v>0</v>
      </c>
      <c r="AK21" s="51">
        <v>0</v>
      </c>
      <c r="AL21" s="51">
        <v>1</v>
      </c>
      <c r="AM21" s="51">
        <v>0</v>
      </c>
      <c r="AN21" s="51">
        <v>5</v>
      </c>
      <c r="AO21" s="51">
        <v>5</v>
      </c>
      <c r="AP21" s="51">
        <v>0</v>
      </c>
      <c r="AQ21" s="51">
        <v>0</v>
      </c>
      <c r="AR21" s="51">
        <v>0</v>
      </c>
      <c r="AS21" s="51">
        <v>0</v>
      </c>
      <c r="AT21" s="51">
        <v>0</v>
      </c>
      <c r="AU21" s="51">
        <v>0</v>
      </c>
      <c r="AV21" s="51">
        <v>0</v>
      </c>
      <c r="AW21" s="51">
        <v>0</v>
      </c>
      <c r="AX21" s="51">
        <v>0</v>
      </c>
      <c r="AY21" s="51">
        <v>2</v>
      </c>
      <c r="AZ21" s="51">
        <v>0</v>
      </c>
      <c r="BA21" s="51">
        <v>1</v>
      </c>
      <c r="BB21" s="51">
        <v>0</v>
      </c>
      <c r="BC21" s="51">
        <v>2</v>
      </c>
      <c r="BD21" s="51">
        <v>6</v>
      </c>
      <c r="BE21" s="51">
        <v>0</v>
      </c>
      <c r="BF21" s="51">
        <v>0</v>
      </c>
      <c r="BG21" s="104"/>
    </row>
    <row r="22" spans="1:59" s="49" customFormat="1" x14ac:dyDescent="0.25">
      <c r="A22" s="403"/>
      <c r="B22" s="48" t="s">
        <v>390</v>
      </c>
      <c r="C22" s="68">
        <v>1</v>
      </c>
      <c r="D22" s="49">
        <v>2</v>
      </c>
      <c r="E22" s="49">
        <v>0</v>
      </c>
      <c r="F22" s="49">
        <v>0</v>
      </c>
      <c r="G22" s="49">
        <v>4</v>
      </c>
      <c r="H22" s="49">
        <v>6</v>
      </c>
      <c r="I22" s="49">
        <v>8</v>
      </c>
      <c r="J22" s="49">
        <v>0</v>
      </c>
      <c r="K22" s="49">
        <v>0</v>
      </c>
      <c r="L22" s="49">
        <v>0</v>
      </c>
      <c r="M22" s="49">
        <v>0</v>
      </c>
      <c r="N22" s="49">
        <v>0</v>
      </c>
      <c r="O22" s="49">
        <v>0</v>
      </c>
      <c r="P22" s="49">
        <v>0</v>
      </c>
      <c r="Q22" s="49">
        <v>0</v>
      </c>
      <c r="R22" s="49">
        <v>0</v>
      </c>
      <c r="S22" s="49">
        <v>0</v>
      </c>
      <c r="T22" s="49">
        <v>6</v>
      </c>
      <c r="U22" s="49">
        <v>6</v>
      </c>
      <c r="V22" s="49">
        <v>0</v>
      </c>
      <c r="W22" s="49">
        <v>0</v>
      </c>
      <c r="X22" s="49">
        <v>4</v>
      </c>
      <c r="Y22" s="49">
        <v>1</v>
      </c>
      <c r="Z22" s="49">
        <v>1</v>
      </c>
      <c r="AA22" s="49">
        <v>0</v>
      </c>
      <c r="AB22" s="49">
        <v>0</v>
      </c>
      <c r="AC22" s="49">
        <v>0</v>
      </c>
      <c r="AD22" s="49">
        <v>0</v>
      </c>
      <c r="AE22" s="49">
        <v>0</v>
      </c>
      <c r="AF22" s="49">
        <v>0</v>
      </c>
      <c r="AG22" s="49">
        <v>2</v>
      </c>
      <c r="AH22" s="49">
        <v>0</v>
      </c>
      <c r="AI22" s="49">
        <v>0</v>
      </c>
      <c r="AJ22" s="49">
        <v>0</v>
      </c>
      <c r="AK22" s="49">
        <v>0</v>
      </c>
      <c r="AL22" s="49">
        <v>1</v>
      </c>
      <c r="AM22" s="49">
        <v>0</v>
      </c>
      <c r="AN22" s="49">
        <v>5</v>
      </c>
      <c r="AO22" s="49">
        <v>5</v>
      </c>
      <c r="AP22" s="49">
        <v>0</v>
      </c>
      <c r="AQ22" s="49">
        <v>0</v>
      </c>
      <c r="AR22" s="49">
        <v>0</v>
      </c>
      <c r="AS22" s="49">
        <v>0</v>
      </c>
      <c r="AT22" s="49">
        <v>0</v>
      </c>
      <c r="AU22" s="49">
        <v>0</v>
      </c>
      <c r="AV22" s="49">
        <v>0</v>
      </c>
      <c r="AW22" s="49">
        <v>0</v>
      </c>
      <c r="AX22" s="49">
        <v>0</v>
      </c>
      <c r="AY22" s="49">
        <v>2</v>
      </c>
      <c r="AZ22" s="49">
        <v>0</v>
      </c>
      <c r="BA22" s="49">
        <v>1</v>
      </c>
      <c r="BB22" s="49">
        <v>0</v>
      </c>
      <c r="BC22" s="49">
        <v>2</v>
      </c>
      <c r="BD22" s="49">
        <v>6</v>
      </c>
      <c r="BE22" s="49">
        <v>0</v>
      </c>
      <c r="BF22" s="49">
        <v>0</v>
      </c>
      <c r="BG22" s="103"/>
    </row>
    <row r="23" spans="1:59" s="51" customFormat="1" x14ac:dyDescent="0.25">
      <c r="A23" s="403"/>
      <c r="B23" s="50" t="s">
        <v>391</v>
      </c>
      <c r="C23" s="64">
        <v>1</v>
      </c>
      <c r="D23" s="51">
        <v>2</v>
      </c>
      <c r="E23" s="51">
        <v>0</v>
      </c>
      <c r="F23" s="51">
        <v>0</v>
      </c>
      <c r="G23" s="51">
        <v>0</v>
      </c>
      <c r="H23" s="51">
        <v>0</v>
      </c>
      <c r="I23" s="51">
        <v>0</v>
      </c>
      <c r="J23" s="51">
        <v>0</v>
      </c>
      <c r="K23" s="51">
        <v>0</v>
      </c>
      <c r="L23" s="51">
        <v>0</v>
      </c>
      <c r="M23" s="51">
        <v>0</v>
      </c>
      <c r="N23" s="51">
        <v>0</v>
      </c>
      <c r="O23" s="51">
        <v>0</v>
      </c>
      <c r="P23" s="51">
        <v>0</v>
      </c>
      <c r="Q23" s="51">
        <v>0</v>
      </c>
      <c r="R23" s="51">
        <v>0</v>
      </c>
      <c r="S23" s="51">
        <v>0</v>
      </c>
      <c r="T23" s="51">
        <v>0</v>
      </c>
      <c r="U23" s="51">
        <v>0</v>
      </c>
      <c r="V23" s="51">
        <v>0</v>
      </c>
      <c r="W23" s="51">
        <v>0</v>
      </c>
      <c r="X23" s="51">
        <v>4</v>
      </c>
      <c r="Y23" s="51">
        <v>1</v>
      </c>
      <c r="Z23" s="51">
        <v>1</v>
      </c>
      <c r="AA23" s="51">
        <v>0</v>
      </c>
      <c r="AB23" s="51">
        <v>0</v>
      </c>
      <c r="AC23" s="51">
        <v>0</v>
      </c>
      <c r="AD23" s="51">
        <v>0</v>
      </c>
      <c r="AE23" s="51">
        <v>0</v>
      </c>
      <c r="AF23" s="51">
        <v>0</v>
      </c>
      <c r="AG23" s="51">
        <v>2</v>
      </c>
      <c r="AH23" s="51">
        <v>0</v>
      </c>
      <c r="AI23" s="51">
        <v>0</v>
      </c>
      <c r="AJ23" s="51">
        <v>0</v>
      </c>
      <c r="AK23" s="51">
        <v>0</v>
      </c>
      <c r="AL23" s="51">
        <v>1</v>
      </c>
      <c r="AM23" s="51">
        <v>0</v>
      </c>
      <c r="AN23" s="51">
        <v>5</v>
      </c>
      <c r="AO23" s="51">
        <v>5</v>
      </c>
      <c r="AP23" s="51">
        <v>0</v>
      </c>
      <c r="AQ23" s="51">
        <v>0</v>
      </c>
      <c r="AR23" s="51">
        <v>0</v>
      </c>
      <c r="AS23" s="51">
        <v>0</v>
      </c>
      <c r="AT23" s="51">
        <v>0</v>
      </c>
      <c r="AU23" s="51">
        <v>0</v>
      </c>
      <c r="AV23" s="51">
        <v>0</v>
      </c>
      <c r="AW23" s="51">
        <v>0</v>
      </c>
      <c r="AX23" s="51">
        <v>0</v>
      </c>
      <c r="AY23" s="51">
        <v>2</v>
      </c>
      <c r="AZ23" s="51">
        <v>0</v>
      </c>
      <c r="BA23" s="51">
        <v>1</v>
      </c>
      <c r="BB23" s="51">
        <v>0</v>
      </c>
      <c r="BC23" s="51">
        <v>2</v>
      </c>
      <c r="BD23" s="51">
        <v>6</v>
      </c>
      <c r="BE23" s="51">
        <v>0</v>
      </c>
      <c r="BF23" s="51">
        <v>0</v>
      </c>
      <c r="BG23" s="104"/>
    </row>
    <row r="24" spans="1:59" s="49" customFormat="1" x14ac:dyDescent="0.25">
      <c r="A24" s="403"/>
      <c r="B24" s="48" t="s">
        <v>392</v>
      </c>
      <c r="C24" s="68">
        <v>1</v>
      </c>
      <c r="D24" s="49">
        <v>2</v>
      </c>
      <c r="E24" s="49">
        <v>0</v>
      </c>
      <c r="F24" s="49">
        <v>0</v>
      </c>
      <c r="G24" s="49">
        <v>0</v>
      </c>
      <c r="H24" s="49">
        <v>2</v>
      </c>
      <c r="I24" s="49">
        <v>8</v>
      </c>
      <c r="J24" s="49">
        <v>0</v>
      </c>
      <c r="K24" s="49">
        <v>0</v>
      </c>
      <c r="L24" s="49">
        <v>0</v>
      </c>
      <c r="M24" s="49">
        <v>0</v>
      </c>
      <c r="N24" s="49">
        <v>0</v>
      </c>
      <c r="O24" s="49">
        <v>0</v>
      </c>
      <c r="P24" s="49">
        <v>0</v>
      </c>
      <c r="Q24" s="49">
        <v>0</v>
      </c>
      <c r="R24" s="49">
        <v>0</v>
      </c>
      <c r="S24" s="49">
        <v>0</v>
      </c>
      <c r="T24" s="49">
        <v>0</v>
      </c>
      <c r="U24" s="49">
        <v>0</v>
      </c>
      <c r="V24" s="49">
        <v>0</v>
      </c>
      <c r="W24" s="49">
        <v>0</v>
      </c>
      <c r="X24" s="49">
        <v>4</v>
      </c>
      <c r="Y24" s="49">
        <v>1</v>
      </c>
      <c r="Z24" s="49">
        <v>1</v>
      </c>
      <c r="AA24" s="49">
        <v>0</v>
      </c>
      <c r="AB24" s="49">
        <v>0</v>
      </c>
      <c r="AC24" s="49">
        <v>0</v>
      </c>
      <c r="AD24" s="49">
        <v>0</v>
      </c>
      <c r="AE24" s="49">
        <v>0</v>
      </c>
      <c r="AF24" s="49">
        <v>0</v>
      </c>
      <c r="AG24" s="49">
        <v>2</v>
      </c>
      <c r="AH24" s="49">
        <v>0</v>
      </c>
      <c r="AI24" s="49">
        <v>0</v>
      </c>
      <c r="AJ24" s="49">
        <v>0</v>
      </c>
      <c r="AK24" s="49">
        <v>0</v>
      </c>
      <c r="AL24" s="49">
        <v>1</v>
      </c>
      <c r="AM24" s="49">
        <v>0</v>
      </c>
      <c r="AN24" s="49">
        <v>5</v>
      </c>
      <c r="AO24" s="49">
        <v>5</v>
      </c>
      <c r="AP24" s="49">
        <v>0</v>
      </c>
      <c r="AQ24" s="49">
        <v>0</v>
      </c>
      <c r="AR24" s="49">
        <v>0</v>
      </c>
      <c r="AS24" s="49">
        <v>0</v>
      </c>
      <c r="AT24" s="49">
        <v>0</v>
      </c>
      <c r="AU24" s="49">
        <v>0</v>
      </c>
      <c r="AV24" s="49">
        <v>0</v>
      </c>
      <c r="AW24" s="49">
        <v>0</v>
      </c>
      <c r="AX24" s="49">
        <v>0</v>
      </c>
      <c r="AY24" s="49">
        <v>2</v>
      </c>
      <c r="AZ24" s="49">
        <v>0</v>
      </c>
      <c r="BA24" s="49">
        <v>1</v>
      </c>
      <c r="BB24" s="49">
        <v>0</v>
      </c>
      <c r="BC24" s="49">
        <v>2</v>
      </c>
      <c r="BD24" s="49">
        <v>6</v>
      </c>
      <c r="BE24" s="49">
        <v>0</v>
      </c>
      <c r="BF24" s="49">
        <v>0</v>
      </c>
      <c r="BG24" s="103"/>
    </row>
    <row r="25" spans="1:59" s="51" customFormat="1" x14ac:dyDescent="0.25">
      <c r="A25" s="403"/>
      <c r="B25" s="50" t="s">
        <v>393</v>
      </c>
      <c r="C25" s="64">
        <v>0</v>
      </c>
      <c r="D25" s="51">
        <v>0</v>
      </c>
      <c r="E25" s="51">
        <v>0</v>
      </c>
      <c r="F25" s="51">
        <v>0</v>
      </c>
      <c r="G25" s="51">
        <v>0</v>
      </c>
      <c r="H25" s="51">
        <v>4</v>
      </c>
      <c r="I25" s="51">
        <v>0</v>
      </c>
      <c r="J25" s="51">
        <v>0</v>
      </c>
      <c r="K25" s="51">
        <v>0</v>
      </c>
      <c r="L25" s="51">
        <v>0</v>
      </c>
      <c r="M25" s="51">
        <v>0</v>
      </c>
      <c r="N25" s="51">
        <v>0</v>
      </c>
      <c r="O25" s="51">
        <v>0</v>
      </c>
      <c r="P25" s="51">
        <v>0</v>
      </c>
      <c r="Q25" s="51">
        <v>0</v>
      </c>
      <c r="R25" s="51">
        <v>0</v>
      </c>
      <c r="S25" s="51">
        <v>0</v>
      </c>
      <c r="T25" s="51">
        <v>0</v>
      </c>
      <c r="U25" s="51">
        <v>0</v>
      </c>
      <c r="V25" s="51">
        <v>0</v>
      </c>
      <c r="W25" s="51">
        <v>0</v>
      </c>
      <c r="X25" s="51">
        <v>0</v>
      </c>
      <c r="Y25" s="51">
        <v>0</v>
      </c>
      <c r="Z25" s="51">
        <v>0</v>
      </c>
      <c r="AA25" s="51">
        <v>0</v>
      </c>
      <c r="AB25" s="51">
        <v>0</v>
      </c>
      <c r="AC25" s="51">
        <v>0</v>
      </c>
      <c r="AD25" s="51">
        <v>0</v>
      </c>
      <c r="AE25" s="51">
        <v>0</v>
      </c>
      <c r="AF25" s="51">
        <v>0</v>
      </c>
      <c r="AG25" s="51">
        <v>0</v>
      </c>
      <c r="AH25" s="51">
        <v>0</v>
      </c>
      <c r="AI25" s="51">
        <v>0</v>
      </c>
      <c r="AJ25" s="51">
        <v>2</v>
      </c>
      <c r="AK25" s="51">
        <v>0</v>
      </c>
      <c r="AL25" s="51">
        <v>0</v>
      </c>
      <c r="AM25" s="51">
        <v>0</v>
      </c>
      <c r="AN25" s="51">
        <v>0</v>
      </c>
      <c r="AO25" s="51">
        <v>0</v>
      </c>
      <c r="AP25" s="51">
        <v>0</v>
      </c>
      <c r="AQ25" s="51">
        <v>0</v>
      </c>
      <c r="AR25" s="51">
        <v>0</v>
      </c>
      <c r="AS25" s="51">
        <v>2</v>
      </c>
      <c r="AT25" s="51">
        <v>0</v>
      </c>
      <c r="AU25" s="51">
        <v>0</v>
      </c>
      <c r="AV25" s="51">
        <v>0</v>
      </c>
      <c r="AW25" s="51">
        <v>0</v>
      </c>
      <c r="AX25" s="51">
        <v>0</v>
      </c>
      <c r="AY25" s="51">
        <v>2</v>
      </c>
      <c r="AZ25" s="51">
        <v>2</v>
      </c>
      <c r="BA25" s="51">
        <v>2</v>
      </c>
      <c r="BB25" s="51">
        <v>2</v>
      </c>
      <c r="BC25" s="51">
        <v>0</v>
      </c>
      <c r="BD25" s="51">
        <v>0</v>
      </c>
      <c r="BE25" s="51">
        <v>0</v>
      </c>
      <c r="BF25" s="51">
        <v>0</v>
      </c>
      <c r="BG25" s="104"/>
    </row>
    <row r="26" spans="1:59" s="49" customFormat="1" x14ac:dyDescent="0.25">
      <c r="A26" s="403"/>
      <c r="B26" s="48" t="s">
        <v>394</v>
      </c>
      <c r="C26" s="68">
        <v>4</v>
      </c>
      <c r="D26" s="49">
        <v>4</v>
      </c>
      <c r="E26" s="49">
        <v>2</v>
      </c>
      <c r="F26" s="49">
        <v>0</v>
      </c>
      <c r="G26" s="49">
        <v>0</v>
      </c>
      <c r="H26" s="49">
        <v>0</v>
      </c>
      <c r="I26" s="49">
        <v>0</v>
      </c>
      <c r="J26" s="49">
        <v>0</v>
      </c>
      <c r="K26" s="49">
        <v>0</v>
      </c>
      <c r="L26" s="49">
        <v>0</v>
      </c>
      <c r="M26" s="49">
        <v>0</v>
      </c>
      <c r="N26" s="49">
        <v>0</v>
      </c>
      <c r="O26" s="49">
        <v>0</v>
      </c>
      <c r="P26" s="49">
        <v>0</v>
      </c>
      <c r="Q26" s="49">
        <v>0</v>
      </c>
      <c r="R26" s="49">
        <v>0</v>
      </c>
      <c r="S26" s="49">
        <v>0</v>
      </c>
      <c r="T26" s="49">
        <v>0</v>
      </c>
      <c r="U26" s="49">
        <v>0</v>
      </c>
      <c r="V26" s="49">
        <v>0</v>
      </c>
      <c r="W26" s="49">
        <v>0</v>
      </c>
      <c r="X26" s="49">
        <v>4</v>
      </c>
      <c r="Y26" s="49">
        <v>4</v>
      </c>
      <c r="Z26" s="49">
        <v>8</v>
      </c>
      <c r="AA26" s="49">
        <v>0</v>
      </c>
      <c r="AB26" s="49">
        <v>0</v>
      </c>
      <c r="AC26" s="49">
        <v>4</v>
      </c>
      <c r="AD26" s="49">
        <v>0</v>
      </c>
      <c r="AE26" s="49">
        <v>2</v>
      </c>
      <c r="AF26" s="49">
        <v>0</v>
      </c>
      <c r="AG26" s="49">
        <v>0</v>
      </c>
      <c r="AH26" s="49">
        <v>0</v>
      </c>
      <c r="AI26" s="49">
        <v>2</v>
      </c>
      <c r="AJ26" s="49">
        <v>2</v>
      </c>
      <c r="AK26" s="49">
        <v>0</v>
      </c>
      <c r="AL26" s="49">
        <v>2</v>
      </c>
      <c r="AM26" s="49">
        <v>0</v>
      </c>
      <c r="AN26" s="49">
        <v>2</v>
      </c>
      <c r="AO26" s="49">
        <v>2</v>
      </c>
      <c r="AP26" s="49">
        <v>0</v>
      </c>
      <c r="AQ26" s="49">
        <v>0</v>
      </c>
      <c r="AR26" s="49">
        <v>0</v>
      </c>
      <c r="AS26" s="49">
        <v>0</v>
      </c>
      <c r="AT26" s="49">
        <v>2</v>
      </c>
      <c r="AU26" s="49">
        <v>0</v>
      </c>
      <c r="AV26" s="49">
        <v>0</v>
      </c>
      <c r="AW26" s="49">
        <v>0</v>
      </c>
      <c r="AX26" s="49">
        <v>4</v>
      </c>
      <c r="AY26" s="49">
        <v>4</v>
      </c>
      <c r="AZ26" s="49">
        <v>4</v>
      </c>
      <c r="BA26" s="49">
        <v>4</v>
      </c>
      <c r="BB26" s="49">
        <v>6</v>
      </c>
      <c r="BC26" s="49">
        <v>2</v>
      </c>
      <c r="BD26" s="49">
        <v>2</v>
      </c>
      <c r="BE26" s="49">
        <v>4</v>
      </c>
      <c r="BF26" s="49">
        <v>0</v>
      </c>
      <c r="BG26" s="103"/>
    </row>
    <row r="27" spans="1:59" s="89" customFormat="1" x14ac:dyDescent="0.25">
      <c r="A27" s="403"/>
      <c r="B27" s="50" t="s">
        <v>395</v>
      </c>
      <c r="C27" s="64">
        <v>0</v>
      </c>
      <c r="D27" s="51">
        <v>0</v>
      </c>
      <c r="E27" s="51">
        <v>2</v>
      </c>
      <c r="F27" s="51">
        <v>2</v>
      </c>
      <c r="G27" s="51">
        <v>0</v>
      </c>
      <c r="H27" s="51">
        <v>0</v>
      </c>
      <c r="I27" s="51">
        <v>0</v>
      </c>
      <c r="J27" s="51">
        <v>6</v>
      </c>
      <c r="K27" s="51">
        <v>4</v>
      </c>
      <c r="L27" s="51">
        <v>0</v>
      </c>
      <c r="M27" s="51">
        <v>0</v>
      </c>
      <c r="N27" s="51">
        <v>8</v>
      </c>
      <c r="O27" s="51">
        <v>0</v>
      </c>
      <c r="P27" s="51">
        <v>0</v>
      </c>
      <c r="Q27" s="51">
        <v>0</v>
      </c>
      <c r="R27" s="51">
        <v>0</v>
      </c>
      <c r="S27" s="51">
        <v>0</v>
      </c>
      <c r="T27" s="51">
        <v>0</v>
      </c>
      <c r="U27" s="51">
        <v>0</v>
      </c>
      <c r="V27" s="51">
        <v>0</v>
      </c>
      <c r="W27" s="51">
        <v>0</v>
      </c>
      <c r="X27" s="51">
        <v>0</v>
      </c>
      <c r="Y27" s="51">
        <v>0</v>
      </c>
      <c r="Z27" s="51">
        <v>0</v>
      </c>
      <c r="AA27" s="51">
        <v>2</v>
      </c>
      <c r="AB27" s="51">
        <v>0</v>
      </c>
      <c r="AC27" s="51">
        <v>0</v>
      </c>
      <c r="AD27" s="51">
        <v>0</v>
      </c>
      <c r="AE27" s="51">
        <v>2</v>
      </c>
      <c r="AF27" s="51">
        <v>4</v>
      </c>
      <c r="AG27" s="51">
        <v>4</v>
      </c>
      <c r="AH27" s="51">
        <v>2</v>
      </c>
      <c r="AI27" s="51">
        <v>6</v>
      </c>
      <c r="AJ27" s="51">
        <v>0</v>
      </c>
      <c r="AK27" s="51">
        <v>0</v>
      </c>
      <c r="AL27" s="51">
        <v>0</v>
      </c>
      <c r="AM27" s="51">
        <v>2</v>
      </c>
      <c r="AN27" s="51">
        <v>2</v>
      </c>
      <c r="AO27" s="51">
        <v>0</v>
      </c>
      <c r="AP27" s="51">
        <v>0</v>
      </c>
      <c r="AQ27" s="51">
        <v>4</v>
      </c>
      <c r="AR27" s="51">
        <v>0</v>
      </c>
      <c r="AS27" s="51">
        <v>0</v>
      </c>
      <c r="AT27" s="51">
        <v>2</v>
      </c>
      <c r="AU27" s="51">
        <v>0</v>
      </c>
      <c r="AV27" s="51">
        <v>0</v>
      </c>
      <c r="AW27" s="51">
        <v>2</v>
      </c>
      <c r="AX27" s="51">
        <v>0</v>
      </c>
      <c r="AY27" s="51">
        <v>0</v>
      </c>
      <c r="AZ27" s="51">
        <v>0</v>
      </c>
      <c r="BA27" s="51">
        <v>0</v>
      </c>
      <c r="BB27" s="51">
        <v>0</v>
      </c>
      <c r="BC27" s="51">
        <v>6</v>
      </c>
      <c r="BD27" s="51">
        <v>8</v>
      </c>
      <c r="BE27" s="51">
        <v>4</v>
      </c>
      <c r="BF27" s="51">
        <v>0</v>
      </c>
      <c r="BG27" s="105"/>
    </row>
    <row r="28" spans="1:59" s="92" customFormat="1" ht="7.5" customHeight="1" x14ac:dyDescent="0.25">
      <c r="A28" s="403"/>
      <c r="B28" s="54"/>
      <c r="C28" s="87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55"/>
      <c r="BA28" s="55"/>
      <c r="BB28" s="55"/>
      <c r="BC28" s="55"/>
      <c r="BD28" s="55"/>
      <c r="BE28" s="55"/>
      <c r="BF28" s="55"/>
    </row>
    <row r="29" spans="1:59" s="90" customFormat="1" x14ac:dyDescent="0.25">
      <c r="A29" s="403"/>
      <c r="B29" s="69" t="s">
        <v>396</v>
      </c>
      <c r="C29" s="70">
        <v>0</v>
      </c>
      <c r="D29" s="71">
        <v>0</v>
      </c>
      <c r="E29" s="71">
        <v>2000</v>
      </c>
      <c r="F29" s="71">
        <v>0</v>
      </c>
      <c r="G29" s="71">
        <v>0</v>
      </c>
      <c r="H29" s="71">
        <v>0</v>
      </c>
      <c r="I29" s="71">
        <v>0</v>
      </c>
      <c r="J29" s="71">
        <v>2000</v>
      </c>
      <c r="K29" s="71">
        <v>2000</v>
      </c>
      <c r="L29" s="71">
        <v>2000</v>
      </c>
      <c r="M29" s="71">
        <v>1000</v>
      </c>
      <c r="N29" s="71">
        <v>2000</v>
      </c>
      <c r="O29" s="71">
        <v>0</v>
      </c>
      <c r="P29" s="71">
        <v>0</v>
      </c>
      <c r="Q29" s="71">
        <v>0</v>
      </c>
      <c r="R29" s="71">
        <v>0</v>
      </c>
      <c r="S29" s="71">
        <v>0</v>
      </c>
      <c r="T29" s="71">
        <v>0</v>
      </c>
      <c r="U29" s="71">
        <v>0</v>
      </c>
      <c r="V29" s="71">
        <v>0</v>
      </c>
      <c r="W29" s="71">
        <v>0</v>
      </c>
      <c r="X29" s="71">
        <v>0</v>
      </c>
      <c r="Y29" s="71">
        <v>0</v>
      </c>
      <c r="Z29" s="71">
        <v>0</v>
      </c>
      <c r="AA29" s="71">
        <v>0</v>
      </c>
      <c r="AB29" s="71">
        <v>2</v>
      </c>
      <c r="AC29" s="71">
        <v>0</v>
      </c>
      <c r="AD29" s="71">
        <v>0</v>
      </c>
      <c r="AE29" s="71">
        <v>0</v>
      </c>
      <c r="AF29" s="71">
        <v>2</v>
      </c>
      <c r="AG29" s="71">
        <v>0</v>
      </c>
      <c r="AH29" s="71">
        <v>2</v>
      </c>
      <c r="AI29" s="71">
        <v>8</v>
      </c>
      <c r="AJ29" s="71">
        <v>1</v>
      </c>
      <c r="AK29" s="71">
        <v>0</v>
      </c>
      <c r="AL29" s="71">
        <v>0</v>
      </c>
      <c r="AM29" s="71">
        <v>2</v>
      </c>
      <c r="AN29" s="71">
        <v>2</v>
      </c>
      <c r="AO29" s="71">
        <v>0</v>
      </c>
      <c r="AP29" s="71">
        <v>0</v>
      </c>
      <c r="AQ29" s="71">
        <v>0</v>
      </c>
      <c r="AR29" s="71">
        <v>0</v>
      </c>
      <c r="AS29" s="71">
        <v>0</v>
      </c>
      <c r="AT29" s="71">
        <v>2</v>
      </c>
      <c r="AU29" s="71">
        <v>0</v>
      </c>
      <c r="AV29" s="71">
        <v>0</v>
      </c>
      <c r="AW29" s="71">
        <v>2</v>
      </c>
      <c r="AX29" s="71">
        <v>0</v>
      </c>
      <c r="AY29" s="71">
        <v>0</v>
      </c>
      <c r="AZ29" s="71">
        <v>0</v>
      </c>
      <c r="BA29" s="71">
        <v>0</v>
      </c>
      <c r="BB29" s="71">
        <v>0</v>
      </c>
      <c r="BC29" s="71">
        <v>2</v>
      </c>
      <c r="BD29" s="71">
        <v>2</v>
      </c>
      <c r="BE29" s="71">
        <v>2</v>
      </c>
      <c r="BF29" s="71">
        <v>0</v>
      </c>
      <c r="BG29" s="106"/>
    </row>
    <row r="30" spans="1:59" s="53" customFormat="1" x14ac:dyDescent="0.25">
      <c r="A30" s="403"/>
      <c r="B30" s="52" t="s">
        <v>397</v>
      </c>
      <c r="C30" s="65">
        <v>0</v>
      </c>
      <c r="D30" s="53">
        <v>0</v>
      </c>
      <c r="E30" s="53">
        <v>0</v>
      </c>
      <c r="F30" s="53">
        <v>0</v>
      </c>
      <c r="G30" s="53">
        <v>0</v>
      </c>
      <c r="H30" s="53">
        <v>0</v>
      </c>
      <c r="I30" s="53">
        <v>0</v>
      </c>
      <c r="J30" s="53">
        <v>0</v>
      </c>
      <c r="K30" s="53">
        <v>0</v>
      </c>
      <c r="L30" s="53">
        <v>1</v>
      </c>
      <c r="M30" s="53">
        <v>1</v>
      </c>
      <c r="N30" s="53">
        <v>0</v>
      </c>
      <c r="O30" s="53">
        <v>0</v>
      </c>
      <c r="P30" s="53">
        <v>0</v>
      </c>
      <c r="Q30" s="53">
        <v>0</v>
      </c>
      <c r="R30" s="53">
        <v>0</v>
      </c>
      <c r="S30" s="53">
        <v>0</v>
      </c>
      <c r="T30" s="53">
        <v>0</v>
      </c>
      <c r="U30" s="53">
        <v>0</v>
      </c>
      <c r="V30" s="53">
        <v>0</v>
      </c>
      <c r="W30" s="53">
        <v>0</v>
      </c>
      <c r="X30" s="53">
        <v>0</v>
      </c>
      <c r="Y30" s="53">
        <v>0</v>
      </c>
      <c r="Z30" s="53">
        <v>0</v>
      </c>
      <c r="AA30" s="53">
        <v>0</v>
      </c>
      <c r="AB30" s="53">
        <v>1</v>
      </c>
      <c r="AC30" s="53">
        <v>0</v>
      </c>
      <c r="AD30" s="53">
        <v>0</v>
      </c>
      <c r="AE30" s="53">
        <v>0</v>
      </c>
      <c r="AF30" s="53">
        <v>0</v>
      </c>
      <c r="AG30" s="53">
        <v>6</v>
      </c>
      <c r="AH30" s="53">
        <v>0</v>
      </c>
      <c r="AI30" s="53">
        <v>0</v>
      </c>
      <c r="AJ30" s="53">
        <v>2</v>
      </c>
      <c r="AK30" s="53">
        <v>0</v>
      </c>
      <c r="AL30" s="53">
        <v>0</v>
      </c>
      <c r="AM30" s="53">
        <v>2</v>
      </c>
      <c r="AN30" s="53">
        <v>2</v>
      </c>
      <c r="AO30" s="53">
        <v>0</v>
      </c>
      <c r="AP30" s="53">
        <v>0</v>
      </c>
      <c r="AQ30" s="53">
        <v>2</v>
      </c>
      <c r="AR30" s="53">
        <v>0</v>
      </c>
      <c r="AS30" s="53">
        <v>0</v>
      </c>
      <c r="AT30" s="53">
        <v>2</v>
      </c>
      <c r="AU30" s="53">
        <v>0</v>
      </c>
      <c r="AV30" s="53">
        <v>0</v>
      </c>
      <c r="AW30" s="53">
        <v>0</v>
      </c>
      <c r="AX30" s="53">
        <v>0</v>
      </c>
      <c r="AY30" s="53">
        <v>0</v>
      </c>
      <c r="AZ30" s="53">
        <v>0</v>
      </c>
      <c r="BA30" s="53">
        <v>0</v>
      </c>
      <c r="BB30" s="53">
        <v>0</v>
      </c>
      <c r="BC30" s="53">
        <v>0</v>
      </c>
      <c r="BD30" s="53">
        <v>0</v>
      </c>
      <c r="BE30" s="53">
        <v>0</v>
      </c>
      <c r="BF30" s="53">
        <v>0</v>
      </c>
      <c r="BG30" s="107"/>
    </row>
    <row r="31" spans="1:59" s="93" customFormat="1" x14ac:dyDescent="0.25">
      <c r="A31" s="403"/>
      <c r="B31" s="69" t="s">
        <v>398</v>
      </c>
      <c r="C31" s="70">
        <v>0</v>
      </c>
      <c r="D31" s="71">
        <v>0</v>
      </c>
      <c r="E31" s="71">
        <v>100</v>
      </c>
      <c r="F31" s="71">
        <v>0</v>
      </c>
      <c r="G31" s="71">
        <v>0</v>
      </c>
      <c r="H31" s="71">
        <v>0</v>
      </c>
      <c r="I31" s="71">
        <v>0</v>
      </c>
      <c r="J31" s="71">
        <v>100</v>
      </c>
      <c r="K31" s="71">
        <v>100</v>
      </c>
      <c r="L31" s="71">
        <v>0</v>
      </c>
      <c r="M31" s="71">
        <v>100</v>
      </c>
      <c r="N31" s="71">
        <v>200</v>
      </c>
      <c r="O31" s="71">
        <v>0</v>
      </c>
      <c r="P31" s="71">
        <v>0</v>
      </c>
      <c r="Q31" s="71">
        <v>0</v>
      </c>
      <c r="R31" s="71">
        <v>0</v>
      </c>
      <c r="S31" s="71">
        <v>0</v>
      </c>
      <c r="T31" s="71">
        <v>200</v>
      </c>
      <c r="U31" s="71">
        <v>0</v>
      </c>
      <c r="V31" s="71">
        <v>0</v>
      </c>
      <c r="W31" s="71">
        <v>0</v>
      </c>
      <c r="X31" s="71">
        <v>0</v>
      </c>
      <c r="Y31" s="71">
        <v>0</v>
      </c>
      <c r="Z31" s="71">
        <v>0</v>
      </c>
      <c r="AA31" s="71">
        <v>0</v>
      </c>
      <c r="AB31" s="71">
        <v>0</v>
      </c>
      <c r="AC31" s="71">
        <v>0</v>
      </c>
      <c r="AD31" s="71">
        <v>0</v>
      </c>
      <c r="AE31" s="71">
        <v>0</v>
      </c>
      <c r="AF31" s="71">
        <v>100</v>
      </c>
      <c r="AG31" s="71">
        <v>100</v>
      </c>
      <c r="AH31" s="71">
        <v>100</v>
      </c>
      <c r="AI31" s="71">
        <v>200</v>
      </c>
      <c r="AJ31" s="71">
        <v>10</v>
      </c>
      <c r="AK31" s="71">
        <v>0</v>
      </c>
      <c r="AL31" s="71">
        <v>0</v>
      </c>
      <c r="AM31" s="71">
        <v>40</v>
      </c>
      <c r="AN31" s="71">
        <v>40</v>
      </c>
      <c r="AO31" s="71">
        <v>0</v>
      </c>
      <c r="AP31" s="71">
        <v>0</v>
      </c>
      <c r="AQ31" s="71">
        <v>100</v>
      </c>
      <c r="AR31" s="71">
        <v>0</v>
      </c>
      <c r="AS31" s="71">
        <v>0</v>
      </c>
      <c r="AT31" s="71">
        <v>100</v>
      </c>
      <c r="AU31" s="71">
        <v>0</v>
      </c>
      <c r="AV31" s="71">
        <v>0</v>
      </c>
      <c r="AW31" s="71">
        <v>40</v>
      </c>
      <c r="AX31" s="71">
        <v>0</v>
      </c>
      <c r="AY31" s="71">
        <v>0</v>
      </c>
      <c r="AZ31" s="71">
        <v>0</v>
      </c>
      <c r="BA31" s="71">
        <v>0</v>
      </c>
      <c r="BB31" s="71">
        <v>0</v>
      </c>
      <c r="BC31" s="71">
        <v>200</v>
      </c>
      <c r="BD31" s="71">
        <v>200</v>
      </c>
      <c r="BE31" s="71">
        <v>100</v>
      </c>
      <c r="BF31" s="71">
        <v>0</v>
      </c>
      <c r="BG31" s="108"/>
    </row>
    <row r="32" spans="1:59" s="99" customFormat="1" ht="7.5" customHeight="1" x14ac:dyDescent="0.25">
      <c r="A32" s="96"/>
      <c r="B32" s="97"/>
      <c r="C32" s="98"/>
    </row>
    <row r="33" spans="1:58" s="95" customFormat="1" x14ac:dyDescent="0.25">
      <c r="A33" s="403" t="s">
        <v>408</v>
      </c>
      <c r="B33" s="94" t="s">
        <v>399</v>
      </c>
      <c r="C33" s="95">
        <v>0</v>
      </c>
      <c r="D33" s="95">
        <v>0</v>
      </c>
      <c r="E33" s="95">
        <v>0</v>
      </c>
      <c r="F33" s="95">
        <v>0</v>
      </c>
      <c r="G33" s="95">
        <v>2</v>
      </c>
      <c r="H33" s="95">
        <v>0</v>
      </c>
      <c r="I33" s="95">
        <v>0</v>
      </c>
      <c r="J33" s="95">
        <v>0</v>
      </c>
      <c r="K33" s="95">
        <v>0</v>
      </c>
      <c r="L33" s="95">
        <v>0</v>
      </c>
      <c r="M33" s="95">
        <v>0</v>
      </c>
      <c r="N33" s="95">
        <v>0</v>
      </c>
      <c r="O33" s="95">
        <v>0</v>
      </c>
      <c r="P33" s="95">
        <v>0</v>
      </c>
      <c r="Q33" s="95">
        <v>0</v>
      </c>
      <c r="R33" s="95">
        <v>0</v>
      </c>
      <c r="S33" s="95">
        <v>0</v>
      </c>
      <c r="T33" s="95">
        <v>0</v>
      </c>
      <c r="U33" s="95">
        <v>0</v>
      </c>
      <c r="V33" s="95">
        <v>0</v>
      </c>
      <c r="W33" s="95">
        <v>2</v>
      </c>
      <c r="X33" s="95">
        <v>0</v>
      </c>
      <c r="Y33" s="95">
        <v>0</v>
      </c>
      <c r="Z33" s="95">
        <v>1</v>
      </c>
      <c r="AA33" s="95">
        <v>0</v>
      </c>
      <c r="AB33" s="95">
        <v>0</v>
      </c>
      <c r="AC33" s="95">
        <v>0</v>
      </c>
      <c r="AD33" s="95">
        <v>1</v>
      </c>
      <c r="AE33" s="95">
        <v>0</v>
      </c>
      <c r="AF33" s="95">
        <v>2</v>
      </c>
      <c r="AG33" s="95">
        <v>2</v>
      </c>
      <c r="AH33" s="95">
        <v>0</v>
      </c>
      <c r="AI33" s="95">
        <v>0</v>
      </c>
      <c r="AJ33" s="95">
        <v>0</v>
      </c>
      <c r="AK33" s="95">
        <v>1</v>
      </c>
      <c r="AL33" s="95">
        <v>0</v>
      </c>
      <c r="AM33" s="95">
        <v>0</v>
      </c>
      <c r="AN33" s="95">
        <v>1</v>
      </c>
      <c r="AO33" s="95">
        <v>0</v>
      </c>
      <c r="AP33" s="95">
        <v>0</v>
      </c>
      <c r="AQ33" s="95">
        <v>0</v>
      </c>
      <c r="AR33" s="95">
        <v>0</v>
      </c>
      <c r="AS33" s="95">
        <v>0</v>
      </c>
      <c r="AT33" s="95">
        <v>1</v>
      </c>
      <c r="AU33" s="95">
        <v>2</v>
      </c>
      <c r="AV33" s="95">
        <v>1</v>
      </c>
      <c r="AW33" s="95">
        <v>0</v>
      </c>
      <c r="AX33" s="95">
        <v>1</v>
      </c>
      <c r="AY33" s="95">
        <v>2</v>
      </c>
      <c r="AZ33" s="95">
        <v>0</v>
      </c>
      <c r="BA33" s="95">
        <v>0</v>
      </c>
      <c r="BB33" s="95">
        <v>0</v>
      </c>
      <c r="BC33" s="95">
        <v>0</v>
      </c>
      <c r="BD33" s="95">
        <v>0</v>
      </c>
      <c r="BE33" s="95">
        <v>0</v>
      </c>
      <c r="BF33" s="95">
        <v>0</v>
      </c>
    </row>
    <row r="34" spans="1:58" s="49" customFormat="1" x14ac:dyDescent="0.25">
      <c r="A34" s="403"/>
      <c r="B34" s="48" t="s">
        <v>400</v>
      </c>
      <c r="C34" s="49">
        <v>0</v>
      </c>
      <c r="D34" s="49">
        <v>0</v>
      </c>
      <c r="E34" s="49">
        <v>0</v>
      </c>
      <c r="F34" s="49">
        <v>0</v>
      </c>
      <c r="G34" s="49">
        <v>0</v>
      </c>
      <c r="H34" s="49">
        <v>0</v>
      </c>
      <c r="I34" s="49">
        <v>0</v>
      </c>
      <c r="J34" s="49">
        <v>0</v>
      </c>
      <c r="K34" s="49">
        <v>0</v>
      </c>
      <c r="L34" s="49">
        <v>0</v>
      </c>
      <c r="M34" s="49">
        <v>0</v>
      </c>
      <c r="N34" s="49">
        <v>0</v>
      </c>
      <c r="O34" s="49">
        <v>0</v>
      </c>
      <c r="P34" s="49">
        <v>0</v>
      </c>
      <c r="Q34" s="49">
        <v>0</v>
      </c>
      <c r="R34" s="49">
        <v>0</v>
      </c>
      <c r="S34" s="49">
        <v>0</v>
      </c>
      <c r="T34" s="49">
        <v>0</v>
      </c>
      <c r="U34" s="49">
        <v>0</v>
      </c>
      <c r="V34" s="49">
        <v>0</v>
      </c>
      <c r="W34" s="49">
        <v>0</v>
      </c>
      <c r="X34" s="49">
        <v>0</v>
      </c>
      <c r="Y34" s="49">
        <v>0</v>
      </c>
      <c r="Z34" s="49">
        <v>0</v>
      </c>
      <c r="AA34" s="49">
        <v>0</v>
      </c>
      <c r="AB34" s="49">
        <v>0</v>
      </c>
      <c r="AC34" s="49">
        <v>0</v>
      </c>
      <c r="AD34" s="49">
        <v>0</v>
      </c>
      <c r="AE34" s="49">
        <v>0</v>
      </c>
      <c r="AF34" s="49">
        <v>1</v>
      </c>
      <c r="AG34" s="49">
        <v>0</v>
      </c>
      <c r="AH34" s="49">
        <v>0</v>
      </c>
      <c r="AI34" s="49">
        <v>0</v>
      </c>
      <c r="AJ34" s="49">
        <v>2</v>
      </c>
      <c r="AK34" s="49">
        <v>1</v>
      </c>
      <c r="AL34" s="49">
        <v>0</v>
      </c>
      <c r="AM34" s="49">
        <v>0</v>
      </c>
      <c r="AN34" s="49">
        <v>0</v>
      </c>
      <c r="AO34" s="49">
        <v>0</v>
      </c>
      <c r="AP34" s="49">
        <v>0</v>
      </c>
      <c r="AQ34" s="49">
        <v>0</v>
      </c>
      <c r="AR34" s="49">
        <v>0</v>
      </c>
      <c r="AS34" s="49">
        <v>0</v>
      </c>
      <c r="AT34" s="49">
        <v>1</v>
      </c>
      <c r="AU34" s="49">
        <v>0</v>
      </c>
      <c r="AV34" s="49">
        <v>0</v>
      </c>
      <c r="AW34" s="49">
        <v>0</v>
      </c>
      <c r="AX34" s="49">
        <v>0</v>
      </c>
      <c r="AY34" s="49">
        <v>0</v>
      </c>
      <c r="AZ34" s="49">
        <v>0</v>
      </c>
      <c r="BA34" s="49">
        <v>0</v>
      </c>
      <c r="BB34" s="49">
        <v>1</v>
      </c>
      <c r="BC34" s="49">
        <v>0</v>
      </c>
      <c r="BD34" s="49">
        <v>0</v>
      </c>
      <c r="BE34" s="49">
        <v>0</v>
      </c>
      <c r="BF34" s="49">
        <v>0</v>
      </c>
    </row>
    <row r="35" spans="1:58" s="51" customFormat="1" x14ac:dyDescent="0.25">
      <c r="A35" s="403"/>
      <c r="B35" s="50" t="s">
        <v>401</v>
      </c>
      <c r="C35" s="51">
        <v>0</v>
      </c>
      <c r="D35" s="51">
        <v>0</v>
      </c>
      <c r="E35" s="51">
        <v>0</v>
      </c>
      <c r="F35" s="51">
        <v>0</v>
      </c>
      <c r="G35" s="51">
        <v>0</v>
      </c>
      <c r="H35" s="51">
        <v>0</v>
      </c>
      <c r="I35" s="51">
        <v>0</v>
      </c>
      <c r="J35" s="51">
        <v>0</v>
      </c>
      <c r="K35" s="51">
        <v>0</v>
      </c>
      <c r="L35" s="51">
        <v>0</v>
      </c>
      <c r="M35" s="51">
        <v>0</v>
      </c>
      <c r="N35" s="51">
        <v>0</v>
      </c>
      <c r="O35" s="51">
        <v>0</v>
      </c>
      <c r="P35" s="51">
        <v>0</v>
      </c>
      <c r="Q35" s="51">
        <v>0</v>
      </c>
      <c r="R35" s="51">
        <v>0</v>
      </c>
      <c r="S35" s="51">
        <v>0</v>
      </c>
      <c r="T35" s="51">
        <v>0</v>
      </c>
      <c r="U35" s="51">
        <v>0</v>
      </c>
      <c r="V35" s="51">
        <v>0</v>
      </c>
      <c r="W35" s="51">
        <v>0</v>
      </c>
      <c r="X35" s="51">
        <v>0</v>
      </c>
      <c r="Y35" s="51">
        <v>1</v>
      </c>
      <c r="Z35" s="51">
        <v>0</v>
      </c>
      <c r="AA35" s="51">
        <v>0</v>
      </c>
      <c r="AB35" s="51">
        <v>0</v>
      </c>
      <c r="AC35" s="51">
        <v>0</v>
      </c>
      <c r="AD35" s="51">
        <v>1</v>
      </c>
      <c r="AE35" s="51">
        <v>0</v>
      </c>
      <c r="AF35" s="51">
        <v>2</v>
      </c>
      <c r="AG35" s="51">
        <v>0</v>
      </c>
      <c r="AH35" s="51">
        <v>0</v>
      </c>
      <c r="AI35" s="51">
        <v>0</v>
      </c>
      <c r="AJ35" s="51">
        <v>0</v>
      </c>
      <c r="AK35" s="51">
        <v>1</v>
      </c>
      <c r="AL35" s="51">
        <v>0</v>
      </c>
      <c r="AM35" s="51">
        <v>0</v>
      </c>
      <c r="AN35" s="51">
        <v>0</v>
      </c>
      <c r="AO35" s="51">
        <v>0</v>
      </c>
      <c r="AP35" s="51">
        <v>0</v>
      </c>
      <c r="AQ35" s="51">
        <v>0</v>
      </c>
      <c r="AR35" s="51">
        <v>0</v>
      </c>
      <c r="AS35" s="51">
        <v>0</v>
      </c>
      <c r="AT35" s="51">
        <v>0</v>
      </c>
      <c r="AU35" s="51">
        <v>0</v>
      </c>
      <c r="AV35" s="51">
        <v>0</v>
      </c>
      <c r="AW35" s="51">
        <v>1</v>
      </c>
      <c r="AX35" s="51">
        <v>0</v>
      </c>
      <c r="AY35" s="51">
        <v>0</v>
      </c>
      <c r="AZ35" s="51">
        <v>0</v>
      </c>
      <c r="BA35" s="51">
        <v>0</v>
      </c>
      <c r="BB35" s="51">
        <v>1</v>
      </c>
      <c r="BC35" s="51">
        <v>0</v>
      </c>
      <c r="BD35" s="51">
        <v>0</v>
      </c>
      <c r="BE35" s="51">
        <v>0</v>
      </c>
      <c r="BF35" s="51">
        <v>0</v>
      </c>
    </row>
    <row r="36" spans="1:58" s="49" customFormat="1" x14ac:dyDescent="0.25">
      <c r="A36" s="403"/>
      <c r="B36" s="48" t="s">
        <v>402</v>
      </c>
      <c r="C36" s="49">
        <v>0</v>
      </c>
      <c r="D36" s="49">
        <v>0</v>
      </c>
      <c r="E36" s="49">
        <v>0</v>
      </c>
      <c r="F36" s="49">
        <v>0</v>
      </c>
      <c r="G36" s="49">
        <v>0</v>
      </c>
      <c r="H36" s="49">
        <v>0</v>
      </c>
      <c r="I36" s="49">
        <v>0</v>
      </c>
      <c r="J36" s="49">
        <v>1</v>
      </c>
      <c r="K36" s="49">
        <v>1</v>
      </c>
      <c r="L36" s="49">
        <v>0</v>
      </c>
      <c r="M36" s="49">
        <v>0</v>
      </c>
      <c r="N36" s="49">
        <v>0</v>
      </c>
      <c r="O36" s="49">
        <v>0</v>
      </c>
      <c r="P36" s="49">
        <v>0</v>
      </c>
      <c r="Q36" s="49">
        <v>0</v>
      </c>
      <c r="R36" s="49">
        <v>0</v>
      </c>
      <c r="S36" s="49">
        <v>0</v>
      </c>
      <c r="T36" s="49">
        <v>0</v>
      </c>
      <c r="U36" s="49">
        <v>0</v>
      </c>
      <c r="V36" s="49">
        <v>0</v>
      </c>
      <c r="W36" s="49">
        <v>0</v>
      </c>
      <c r="X36" s="49">
        <v>0</v>
      </c>
      <c r="Y36" s="49">
        <v>0</v>
      </c>
      <c r="Z36" s="49">
        <v>0</v>
      </c>
      <c r="AA36" s="49">
        <v>0</v>
      </c>
      <c r="AB36" s="49">
        <v>0</v>
      </c>
      <c r="AC36" s="49">
        <v>0</v>
      </c>
      <c r="AD36" s="49">
        <v>0</v>
      </c>
      <c r="AE36" s="49">
        <v>0</v>
      </c>
      <c r="AF36" s="49">
        <v>1</v>
      </c>
      <c r="AG36" s="49">
        <v>0</v>
      </c>
      <c r="AH36" s="49">
        <v>0</v>
      </c>
      <c r="AI36" s="49">
        <v>0</v>
      </c>
      <c r="AJ36" s="49">
        <v>1</v>
      </c>
      <c r="AK36" s="49">
        <v>2</v>
      </c>
      <c r="AL36" s="49">
        <v>0</v>
      </c>
      <c r="AM36" s="49">
        <v>0</v>
      </c>
      <c r="AN36" s="49">
        <v>0</v>
      </c>
      <c r="AO36" s="49">
        <v>0</v>
      </c>
      <c r="AP36" s="49">
        <v>0</v>
      </c>
      <c r="AQ36" s="49">
        <v>0</v>
      </c>
      <c r="AR36" s="49">
        <v>0</v>
      </c>
      <c r="AS36" s="49">
        <v>0</v>
      </c>
      <c r="AT36" s="49">
        <v>2</v>
      </c>
      <c r="AU36" s="49">
        <v>0</v>
      </c>
      <c r="AV36" s="49">
        <v>0</v>
      </c>
      <c r="AW36" s="49">
        <v>0</v>
      </c>
      <c r="AX36" s="49">
        <v>0</v>
      </c>
      <c r="AY36" s="49">
        <v>0</v>
      </c>
      <c r="AZ36" s="49">
        <v>0</v>
      </c>
      <c r="BA36" s="49">
        <v>0</v>
      </c>
      <c r="BB36" s="49">
        <v>0</v>
      </c>
      <c r="BC36" s="49">
        <v>0</v>
      </c>
      <c r="BD36" s="49">
        <v>0</v>
      </c>
      <c r="BE36" s="49">
        <v>0</v>
      </c>
      <c r="BF36" s="49">
        <v>0</v>
      </c>
    </row>
    <row r="37" spans="1:58" s="51" customFormat="1" x14ac:dyDescent="0.25">
      <c r="A37" s="403" t="s">
        <v>404</v>
      </c>
      <c r="B37" s="50" t="s">
        <v>399</v>
      </c>
      <c r="C37" s="51">
        <v>0</v>
      </c>
      <c r="D37" s="51">
        <v>0</v>
      </c>
      <c r="E37" s="51">
        <v>2</v>
      </c>
      <c r="F37" s="51">
        <v>0</v>
      </c>
      <c r="G37" s="51">
        <v>2</v>
      </c>
      <c r="H37" s="51">
        <v>2</v>
      </c>
      <c r="I37" s="51">
        <v>2</v>
      </c>
      <c r="J37" s="51">
        <v>0</v>
      </c>
      <c r="K37" s="51">
        <v>2</v>
      </c>
      <c r="L37" s="51">
        <v>0</v>
      </c>
      <c r="M37" s="51">
        <v>2</v>
      </c>
      <c r="N37" s="51">
        <v>0</v>
      </c>
      <c r="O37" s="51">
        <v>3</v>
      </c>
      <c r="P37" s="51">
        <v>1</v>
      </c>
      <c r="Q37" s="51">
        <v>2</v>
      </c>
      <c r="R37" s="51">
        <v>2</v>
      </c>
      <c r="S37" s="51">
        <v>2</v>
      </c>
      <c r="T37" s="51">
        <v>1</v>
      </c>
      <c r="U37" s="51">
        <v>1</v>
      </c>
      <c r="V37" s="51">
        <v>2</v>
      </c>
      <c r="W37" s="51">
        <v>1</v>
      </c>
      <c r="X37" s="51">
        <v>0</v>
      </c>
      <c r="Y37" s="51">
        <v>0</v>
      </c>
      <c r="Z37" s="51">
        <v>1</v>
      </c>
      <c r="AA37" s="51">
        <v>1</v>
      </c>
      <c r="AB37" s="51">
        <v>0</v>
      </c>
      <c r="AC37" s="51">
        <v>0</v>
      </c>
      <c r="AD37" s="51">
        <v>1</v>
      </c>
      <c r="AE37" s="51">
        <v>1</v>
      </c>
      <c r="AF37" s="51">
        <v>0</v>
      </c>
      <c r="AG37" s="51">
        <v>2</v>
      </c>
      <c r="AH37" s="51">
        <v>1</v>
      </c>
      <c r="AI37" s="51">
        <v>0</v>
      </c>
      <c r="AJ37" s="51">
        <v>0</v>
      </c>
      <c r="AK37" s="51">
        <v>0</v>
      </c>
      <c r="AL37" s="51">
        <v>0</v>
      </c>
      <c r="AM37" s="51">
        <v>0</v>
      </c>
      <c r="AN37" s="51">
        <v>1</v>
      </c>
      <c r="AO37" s="51">
        <v>2</v>
      </c>
      <c r="AP37" s="51">
        <v>1</v>
      </c>
      <c r="AQ37" s="51">
        <v>0</v>
      </c>
      <c r="AR37" s="51">
        <v>1</v>
      </c>
      <c r="AS37" s="51">
        <v>0</v>
      </c>
      <c r="AT37" s="51">
        <v>1</v>
      </c>
      <c r="AU37" s="51">
        <v>2</v>
      </c>
      <c r="AV37" s="51">
        <v>2</v>
      </c>
      <c r="AW37" s="51">
        <v>0</v>
      </c>
      <c r="AX37" s="51">
        <v>1</v>
      </c>
      <c r="AY37" s="51">
        <v>2</v>
      </c>
      <c r="AZ37" s="51">
        <v>0</v>
      </c>
      <c r="BA37" s="51">
        <v>0</v>
      </c>
      <c r="BB37" s="51">
        <v>0</v>
      </c>
      <c r="BC37" s="51">
        <v>0</v>
      </c>
      <c r="BD37" s="51">
        <v>0</v>
      </c>
      <c r="BE37" s="51">
        <v>0</v>
      </c>
      <c r="BF37" s="51">
        <v>0</v>
      </c>
    </row>
    <row r="38" spans="1:58" s="49" customFormat="1" x14ac:dyDescent="0.25">
      <c r="A38" s="403"/>
      <c r="B38" s="48" t="s">
        <v>400</v>
      </c>
      <c r="C38" s="49">
        <v>0</v>
      </c>
      <c r="D38" s="49">
        <v>0</v>
      </c>
      <c r="E38" s="49">
        <v>0</v>
      </c>
      <c r="F38" s="49">
        <v>0</v>
      </c>
      <c r="G38" s="49">
        <v>2</v>
      </c>
      <c r="H38" s="49">
        <v>1</v>
      </c>
      <c r="I38" s="49">
        <v>1</v>
      </c>
      <c r="J38" s="49">
        <v>3</v>
      </c>
      <c r="K38" s="49">
        <v>1</v>
      </c>
      <c r="L38" s="49">
        <v>1</v>
      </c>
      <c r="M38" s="49">
        <v>0</v>
      </c>
      <c r="N38" s="49">
        <v>0</v>
      </c>
      <c r="O38" s="49">
        <v>3</v>
      </c>
      <c r="P38" s="49">
        <v>2</v>
      </c>
      <c r="Q38" s="49">
        <v>2</v>
      </c>
      <c r="R38" s="49">
        <v>1</v>
      </c>
      <c r="S38" s="49">
        <v>2</v>
      </c>
      <c r="T38" s="49">
        <v>2</v>
      </c>
      <c r="U38" s="49">
        <v>2</v>
      </c>
      <c r="V38" s="49">
        <v>0</v>
      </c>
      <c r="W38" s="49">
        <v>0</v>
      </c>
      <c r="X38" s="49">
        <v>0</v>
      </c>
      <c r="Y38" s="49">
        <v>0</v>
      </c>
      <c r="Z38" s="49">
        <v>0</v>
      </c>
      <c r="AA38" s="49">
        <v>1</v>
      </c>
      <c r="AB38" s="49">
        <v>0</v>
      </c>
      <c r="AC38" s="49">
        <v>0</v>
      </c>
      <c r="AD38" s="49">
        <v>1</v>
      </c>
      <c r="AE38" s="49">
        <v>1</v>
      </c>
      <c r="AF38" s="49">
        <v>0</v>
      </c>
      <c r="AG38" s="49">
        <v>0</v>
      </c>
      <c r="AH38" s="49">
        <v>0</v>
      </c>
      <c r="AI38" s="49">
        <v>0</v>
      </c>
      <c r="AJ38" s="49">
        <v>2</v>
      </c>
      <c r="AK38" s="49">
        <v>0</v>
      </c>
      <c r="AL38" s="49">
        <v>0</v>
      </c>
      <c r="AM38" s="49">
        <v>0</v>
      </c>
      <c r="AN38" s="49">
        <v>0</v>
      </c>
      <c r="AO38" s="49">
        <v>0</v>
      </c>
      <c r="AP38" s="49">
        <v>1</v>
      </c>
      <c r="AQ38" s="49">
        <v>0</v>
      </c>
      <c r="AR38" s="49">
        <v>1</v>
      </c>
      <c r="AS38" s="49">
        <v>2</v>
      </c>
      <c r="AT38" s="49">
        <v>1</v>
      </c>
      <c r="AU38" s="49">
        <v>0</v>
      </c>
      <c r="AV38" s="49">
        <v>2</v>
      </c>
      <c r="AW38" s="49">
        <v>0</v>
      </c>
      <c r="AX38" s="49">
        <v>0</v>
      </c>
      <c r="AY38" s="49">
        <v>0</v>
      </c>
      <c r="AZ38" s="49">
        <v>0</v>
      </c>
      <c r="BA38" s="49">
        <v>0</v>
      </c>
      <c r="BB38" s="49">
        <v>1</v>
      </c>
      <c r="BC38" s="49">
        <v>0</v>
      </c>
      <c r="BD38" s="49">
        <v>0</v>
      </c>
      <c r="BE38" s="49">
        <v>0</v>
      </c>
      <c r="BF38" s="49">
        <v>0</v>
      </c>
    </row>
    <row r="39" spans="1:58" s="51" customFormat="1" x14ac:dyDescent="0.25">
      <c r="A39" s="403"/>
      <c r="B39" s="50" t="s">
        <v>401</v>
      </c>
      <c r="C39" s="51">
        <v>0</v>
      </c>
      <c r="D39" s="51">
        <v>0</v>
      </c>
      <c r="E39" s="51">
        <v>0</v>
      </c>
      <c r="F39" s="51">
        <v>0</v>
      </c>
      <c r="G39" s="51">
        <v>0</v>
      </c>
      <c r="H39" s="51">
        <v>2</v>
      </c>
      <c r="I39" s="51">
        <v>3</v>
      </c>
      <c r="J39" s="51">
        <v>2</v>
      </c>
      <c r="K39" s="51">
        <v>1</v>
      </c>
      <c r="L39" s="51">
        <v>0</v>
      </c>
      <c r="M39" s="51">
        <v>1</v>
      </c>
      <c r="N39" s="51">
        <v>0</v>
      </c>
      <c r="O39" s="51">
        <v>3</v>
      </c>
      <c r="P39" s="51">
        <v>1</v>
      </c>
      <c r="Q39" s="51">
        <v>3</v>
      </c>
      <c r="R39" s="51">
        <v>0</v>
      </c>
      <c r="S39" s="51">
        <v>2</v>
      </c>
      <c r="T39" s="51">
        <v>2</v>
      </c>
      <c r="U39" s="51">
        <v>0</v>
      </c>
      <c r="V39" s="51">
        <v>0</v>
      </c>
      <c r="W39" s="51">
        <v>0</v>
      </c>
      <c r="X39" s="51">
        <v>0</v>
      </c>
      <c r="Y39" s="51">
        <v>2</v>
      </c>
      <c r="Z39" s="51">
        <v>0</v>
      </c>
      <c r="AA39" s="51">
        <v>1</v>
      </c>
      <c r="AB39" s="51">
        <v>0</v>
      </c>
      <c r="AC39" s="51">
        <v>0</v>
      </c>
      <c r="AD39" s="51">
        <v>1</v>
      </c>
      <c r="AE39" s="51">
        <v>1</v>
      </c>
      <c r="AF39" s="51">
        <v>0</v>
      </c>
      <c r="AG39" s="51">
        <v>0</v>
      </c>
      <c r="AH39" s="51">
        <v>0</v>
      </c>
      <c r="AI39" s="51">
        <v>0</v>
      </c>
      <c r="AJ39" s="51">
        <v>0</v>
      </c>
      <c r="AK39" s="51">
        <v>0</v>
      </c>
      <c r="AL39" s="51">
        <v>0</v>
      </c>
      <c r="AM39" s="51">
        <v>0</v>
      </c>
      <c r="AN39" s="51">
        <v>0</v>
      </c>
      <c r="AO39" s="51">
        <v>2</v>
      </c>
      <c r="AP39" s="51">
        <v>2</v>
      </c>
      <c r="AQ39" s="51">
        <v>0</v>
      </c>
      <c r="AR39" s="51">
        <v>1</v>
      </c>
      <c r="AS39" s="51">
        <v>2</v>
      </c>
      <c r="AT39" s="51">
        <v>0</v>
      </c>
      <c r="AU39" s="51">
        <v>0</v>
      </c>
      <c r="AV39" s="51">
        <v>2</v>
      </c>
      <c r="AW39" s="51">
        <v>1</v>
      </c>
      <c r="AX39" s="51">
        <v>0</v>
      </c>
      <c r="AY39" s="51">
        <v>0</v>
      </c>
      <c r="AZ39" s="51">
        <v>0</v>
      </c>
      <c r="BA39" s="51">
        <v>0</v>
      </c>
      <c r="BB39" s="51">
        <v>1</v>
      </c>
      <c r="BC39" s="51">
        <v>0</v>
      </c>
      <c r="BD39" s="51">
        <v>0</v>
      </c>
      <c r="BE39" s="51">
        <v>0</v>
      </c>
      <c r="BF39" s="51">
        <v>0</v>
      </c>
    </row>
    <row r="40" spans="1:58" s="49" customFormat="1" x14ac:dyDescent="0.25">
      <c r="A40" s="403"/>
      <c r="B40" s="48" t="s">
        <v>402</v>
      </c>
      <c r="C40" s="49">
        <v>0</v>
      </c>
      <c r="D40" s="49">
        <v>0</v>
      </c>
      <c r="E40" s="49">
        <v>0</v>
      </c>
      <c r="F40" s="49">
        <v>0</v>
      </c>
      <c r="G40" s="49">
        <v>0</v>
      </c>
      <c r="H40" s="49">
        <v>0</v>
      </c>
      <c r="I40" s="49">
        <v>0</v>
      </c>
      <c r="J40" s="49">
        <v>2</v>
      </c>
      <c r="K40" s="49">
        <v>2</v>
      </c>
      <c r="L40" s="49">
        <v>0</v>
      </c>
      <c r="M40" s="49">
        <v>0</v>
      </c>
      <c r="N40" s="49">
        <v>0</v>
      </c>
      <c r="O40" s="49">
        <v>0</v>
      </c>
      <c r="P40" s="49">
        <v>0</v>
      </c>
      <c r="Q40" s="49">
        <v>0</v>
      </c>
      <c r="R40" s="49">
        <v>0</v>
      </c>
      <c r="S40" s="49">
        <v>0</v>
      </c>
      <c r="T40" s="49">
        <v>0</v>
      </c>
      <c r="U40" s="49">
        <v>0</v>
      </c>
      <c r="V40" s="49">
        <v>0</v>
      </c>
      <c r="W40" s="49">
        <v>0</v>
      </c>
      <c r="X40" s="49">
        <v>0</v>
      </c>
      <c r="Y40" s="49">
        <v>0</v>
      </c>
      <c r="Z40" s="49">
        <v>0</v>
      </c>
      <c r="AA40" s="49">
        <v>0</v>
      </c>
      <c r="AB40" s="49">
        <v>0</v>
      </c>
      <c r="AC40" s="49">
        <v>0</v>
      </c>
      <c r="AD40" s="49">
        <v>0</v>
      </c>
      <c r="AE40" s="49">
        <v>1</v>
      </c>
      <c r="AF40" s="49">
        <v>1</v>
      </c>
      <c r="AG40" s="49">
        <v>0</v>
      </c>
      <c r="AH40" s="49">
        <v>0</v>
      </c>
      <c r="AI40" s="49">
        <v>0</v>
      </c>
      <c r="AJ40" s="49">
        <v>0</v>
      </c>
      <c r="AK40" s="49">
        <v>2</v>
      </c>
      <c r="AL40" s="49">
        <v>0</v>
      </c>
      <c r="AM40" s="49">
        <v>0</v>
      </c>
      <c r="AN40" s="49">
        <v>0</v>
      </c>
      <c r="AO40" s="49">
        <v>0</v>
      </c>
      <c r="AP40" s="49">
        <v>1</v>
      </c>
      <c r="AQ40" s="49">
        <v>0</v>
      </c>
      <c r="AR40" s="49">
        <v>0</v>
      </c>
      <c r="AS40" s="49">
        <v>0</v>
      </c>
      <c r="AT40" s="49">
        <v>0</v>
      </c>
      <c r="AU40" s="49">
        <v>0</v>
      </c>
      <c r="AV40" s="49">
        <v>0</v>
      </c>
      <c r="AW40" s="49">
        <v>0</v>
      </c>
      <c r="AX40" s="49">
        <v>0</v>
      </c>
      <c r="AY40" s="49">
        <v>0</v>
      </c>
      <c r="AZ40" s="49">
        <v>0</v>
      </c>
      <c r="BA40" s="49">
        <v>0</v>
      </c>
      <c r="BB40" s="49">
        <v>0</v>
      </c>
      <c r="BC40" s="49">
        <v>0</v>
      </c>
      <c r="BD40" s="49">
        <v>0</v>
      </c>
      <c r="BE40" s="49">
        <v>0</v>
      </c>
      <c r="BF40" s="49">
        <v>0</v>
      </c>
    </row>
    <row r="41" spans="1:58" s="51" customFormat="1" x14ac:dyDescent="0.25">
      <c r="A41" s="403" t="s">
        <v>405</v>
      </c>
      <c r="B41" s="50" t="s">
        <v>399</v>
      </c>
      <c r="C41" s="51">
        <v>3</v>
      </c>
      <c r="D41" s="51">
        <v>3</v>
      </c>
      <c r="E41" s="51">
        <v>3</v>
      </c>
      <c r="F41" s="51">
        <v>2</v>
      </c>
      <c r="G41" s="51">
        <v>2</v>
      </c>
      <c r="H41" s="51">
        <v>0</v>
      </c>
      <c r="I41" s="51">
        <v>0</v>
      </c>
      <c r="J41" s="51">
        <v>0</v>
      </c>
      <c r="K41" s="51">
        <v>0</v>
      </c>
      <c r="L41" s="51">
        <v>0</v>
      </c>
      <c r="M41" s="51">
        <v>0</v>
      </c>
      <c r="N41" s="51">
        <v>0</v>
      </c>
      <c r="O41" s="51">
        <v>0</v>
      </c>
      <c r="P41" s="51">
        <v>0</v>
      </c>
      <c r="Q41" s="51">
        <v>0</v>
      </c>
      <c r="R41" s="51">
        <v>1</v>
      </c>
      <c r="S41" s="51">
        <v>0</v>
      </c>
      <c r="T41" s="51">
        <v>0</v>
      </c>
      <c r="U41" s="51">
        <v>0</v>
      </c>
      <c r="V41" s="51">
        <v>1</v>
      </c>
      <c r="W41" s="51">
        <v>3</v>
      </c>
      <c r="X41" s="51">
        <v>2</v>
      </c>
      <c r="Y41" s="51">
        <v>0</v>
      </c>
      <c r="Z41" s="51">
        <v>1</v>
      </c>
      <c r="AA41" s="51">
        <v>0</v>
      </c>
      <c r="AB41" s="51">
        <v>0</v>
      </c>
      <c r="AC41" s="51">
        <v>1</v>
      </c>
      <c r="AD41" s="51">
        <v>1</v>
      </c>
      <c r="AE41" s="51">
        <v>1</v>
      </c>
      <c r="AF41" s="51">
        <v>0</v>
      </c>
      <c r="AG41" s="51">
        <v>3</v>
      </c>
      <c r="AH41" s="51">
        <v>1</v>
      </c>
      <c r="AI41" s="51">
        <v>0</v>
      </c>
      <c r="AJ41" s="51">
        <v>0</v>
      </c>
      <c r="AK41" s="51">
        <v>0</v>
      </c>
      <c r="AL41" s="51">
        <v>0</v>
      </c>
      <c r="AM41" s="51">
        <v>0</v>
      </c>
      <c r="AN41" s="51">
        <v>1</v>
      </c>
      <c r="AO41" s="51">
        <v>1</v>
      </c>
      <c r="AP41" s="51">
        <v>0</v>
      </c>
      <c r="AQ41" s="51">
        <v>0</v>
      </c>
      <c r="AR41" s="51">
        <v>0</v>
      </c>
      <c r="AS41" s="51">
        <v>0</v>
      </c>
      <c r="AT41" s="51">
        <v>0</v>
      </c>
      <c r="AU41" s="51">
        <v>2</v>
      </c>
      <c r="AV41" s="51">
        <v>1</v>
      </c>
      <c r="AW41" s="51">
        <v>0</v>
      </c>
      <c r="AX41" s="51">
        <v>1</v>
      </c>
      <c r="AY41" s="51">
        <v>2</v>
      </c>
      <c r="AZ41" s="51">
        <v>0</v>
      </c>
      <c r="BA41" s="51">
        <v>0</v>
      </c>
      <c r="BB41" s="51">
        <v>1</v>
      </c>
      <c r="BC41" s="51">
        <v>0</v>
      </c>
      <c r="BD41" s="51">
        <v>1</v>
      </c>
      <c r="BE41" s="51">
        <v>0</v>
      </c>
      <c r="BF41" s="51">
        <v>0</v>
      </c>
    </row>
    <row r="42" spans="1:58" s="49" customFormat="1" x14ac:dyDescent="0.25">
      <c r="A42" s="403"/>
      <c r="B42" s="48" t="s">
        <v>400</v>
      </c>
      <c r="C42" s="49">
        <v>2</v>
      </c>
      <c r="D42" s="49">
        <v>2</v>
      </c>
      <c r="E42" s="49">
        <v>0</v>
      </c>
      <c r="F42" s="49">
        <v>0</v>
      </c>
      <c r="G42" s="49">
        <v>0</v>
      </c>
      <c r="H42" s="49">
        <v>0</v>
      </c>
      <c r="I42" s="49">
        <v>0</v>
      </c>
      <c r="J42" s="49">
        <v>0</v>
      </c>
      <c r="K42" s="49">
        <v>0</v>
      </c>
      <c r="L42" s="49">
        <v>0</v>
      </c>
      <c r="M42" s="49">
        <v>0</v>
      </c>
      <c r="N42" s="49">
        <v>0</v>
      </c>
      <c r="O42" s="49">
        <v>0</v>
      </c>
      <c r="P42" s="49">
        <v>0</v>
      </c>
      <c r="Q42" s="49">
        <v>0</v>
      </c>
      <c r="R42" s="49">
        <v>0</v>
      </c>
      <c r="S42" s="49">
        <v>0</v>
      </c>
      <c r="T42" s="49">
        <v>0</v>
      </c>
      <c r="U42" s="49">
        <v>0</v>
      </c>
      <c r="V42" s="49">
        <v>0</v>
      </c>
      <c r="W42" s="49">
        <v>0</v>
      </c>
      <c r="X42" s="49">
        <v>2</v>
      </c>
      <c r="Y42" s="49">
        <v>0</v>
      </c>
      <c r="Z42" s="49">
        <v>2</v>
      </c>
      <c r="AA42" s="49">
        <v>0</v>
      </c>
      <c r="AB42" s="49">
        <v>1</v>
      </c>
      <c r="AC42" s="49">
        <v>2</v>
      </c>
      <c r="AD42" s="49">
        <v>0</v>
      </c>
      <c r="AE42" s="49">
        <v>0</v>
      </c>
      <c r="AF42" s="49">
        <v>0</v>
      </c>
      <c r="AG42" s="49">
        <v>0</v>
      </c>
      <c r="AH42" s="49">
        <v>0</v>
      </c>
      <c r="AI42" s="49">
        <v>0</v>
      </c>
      <c r="AJ42" s="49">
        <v>2</v>
      </c>
      <c r="AK42" s="49">
        <v>0</v>
      </c>
      <c r="AL42" s="49">
        <v>0</v>
      </c>
      <c r="AM42" s="49">
        <v>0</v>
      </c>
      <c r="AN42" s="49">
        <v>0</v>
      </c>
      <c r="AO42" s="49">
        <v>0</v>
      </c>
      <c r="AP42" s="49">
        <v>0</v>
      </c>
      <c r="AQ42" s="49">
        <v>0</v>
      </c>
      <c r="AR42" s="49">
        <v>0</v>
      </c>
      <c r="AS42" s="49">
        <v>0</v>
      </c>
      <c r="AT42" s="49">
        <v>0</v>
      </c>
      <c r="AU42" s="49">
        <v>0</v>
      </c>
      <c r="AV42" s="49">
        <v>1</v>
      </c>
      <c r="AW42" s="49">
        <v>0</v>
      </c>
      <c r="AX42" s="49">
        <v>0</v>
      </c>
      <c r="AY42" s="49">
        <v>2</v>
      </c>
      <c r="AZ42" s="49">
        <v>0</v>
      </c>
      <c r="BA42" s="49">
        <v>0</v>
      </c>
      <c r="BB42" s="49">
        <v>1</v>
      </c>
      <c r="BC42" s="49">
        <v>0</v>
      </c>
      <c r="BD42" s="49">
        <v>0</v>
      </c>
      <c r="BE42" s="49">
        <v>0</v>
      </c>
      <c r="BF42" s="49">
        <v>0</v>
      </c>
    </row>
    <row r="43" spans="1:58" s="51" customFormat="1" x14ac:dyDescent="0.25">
      <c r="A43" s="403"/>
      <c r="B43" s="50" t="s">
        <v>401</v>
      </c>
      <c r="C43" s="51">
        <v>1</v>
      </c>
      <c r="D43" s="51">
        <v>1</v>
      </c>
      <c r="E43" s="51">
        <v>1</v>
      </c>
      <c r="F43" s="51">
        <v>0</v>
      </c>
      <c r="G43" s="51">
        <v>0</v>
      </c>
      <c r="H43" s="51">
        <v>0</v>
      </c>
      <c r="I43" s="51">
        <v>0</v>
      </c>
      <c r="J43" s="51">
        <v>0</v>
      </c>
      <c r="K43" s="51">
        <v>0</v>
      </c>
      <c r="L43" s="51">
        <v>0</v>
      </c>
      <c r="M43" s="51">
        <v>0</v>
      </c>
      <c r="N43" s="51">
        <v>0</v>
      </c>
      <c r="O43" s="51">
        <v>0</v>
      </c>
      <c r="P43" s="51">
        <v>0</v>
      </c>
      <c r="Q43" s="51">
        <v>0</v>
      </c>
      <c r="R43" s="51">
        <v>0</v>
      </c>
      <c r="S43" s="51">
        <v>0</v>
      </c>
      <c r="T43" s="51">
        <v>0</v>
      </c>
      <c r="U43" s="51">
        <v>0</v>
      </c>
      <c r="V43" s="51">
        <v>0</v>
      </c>
      <c r="W43" s="51">
        <v>0</v>
      </c>
      <c r="X43" s="51">
        <v>2</v>
      </c>
      <c r="Y43" s="51">
        <v>2</v>
      </c>
      <c r="Z43" s="51">
        <v>1</v>
      </c>
      <c r="AA43" s="51">
        <v>0</v>
      </c>
      <c r="AB43" s="51">
        <v>0</v>
      </c>
      <c r="AC43" s="51">
        <v>1</v>
      </c>
      <c r="AD43" s="51">
        <v>1</v>
      </c>
      <c r="AE43" s="51">
        <v>1</v>
      </c>
      <c r="AF43" s="51">
        <v>0</v>
      </c>
      <c r="AG43" s="51">
        <v>0</v>
      </c>
      <c r="AH43" s="51">
        <v>0</v>
      </c>
      <c r="AI43" s="51">
        <v>0</v>
      </c>
      <c r="AJ43" s="51">
        <v>0</v>
      </c>
      <c r="AK43" s="51">
        <v>0</v>
      </c>
      <c r="AL43" s="51">
        <v>0</v>
      </c>
      <c r="AM43" s="51">
        <v>0</v>
      </c>
      <c r="AN43" s="51">
        <v>2</v>
      </c>
      <c r="AO43" s="51">
        <v>0</v>
      </c>
      <c r="AP43" s="51">
        <v>0</v>
      </c>
      <c r="AQ43" s="51">
        <v>0</v>
      </c>
      <c r="AR43" s="51">
        <v>0</v>
      </c>
      <c r="AS43" s="51">
        <v>0</v>
      </c>
      <c r="AT43" s="51">
        <v>0</v>
      </c>
      <c r="AU43" s="51">
        <v>0</v>
      </c>
      <c r="AV43" s="51">
        <v>0</v>
      </c>
      <c r="AW43" s="51">
        <v>1</v>
      </c>
      <c r="AX43" s="51">
        <v>0</v>
      </c>
      <c r="AY43" s="51">
        <v>2</v>
      </c>
      <c r="AZ43" s="51">
        <v>0</v>
      </c>
      <c r="BA43" s="51">
        <v>0</v>
      </c>
      <c r="BB43" s="51">
        <v>1</v>
      </c>
      <c r="BC43" s="51">
        <v>0</v>
      </c>
      <c r="BD43" s="51">
        <v>0</v>
      </c>
      <c r="BE43" s="51">
        <v>0</v>
      </c>
      <c r="BF43" s="51">
        <v>0</v>
      </c>
    </row>
    <row r="44" spans="1:58" s="49" customFormat="1" x14ac:dyDescent="0.25">
      <c r="A44" s="403"/>
      <c r="B44" s="48" t="s">
        <v>402</v>
      </c>
      <c r="C44" s="49">
        <v>0</v>
      </c>
      <c r="D44" s="49">
        <v>0</v>
      </c>
      <c r="E44" s="49">
        <v>0</v>
      </c>
      <c r="F44" s="49">
        <v>0</v>
      </c>
      <c r="G44" s="49">
        <v>0</v>
      </c>
      <c r="H44" s="49">
        <v>0</v>
      </c>
      <c r="I44" s="49">
        <v>0</v>
      </c>
      <c r="J44" s="49">
        <v>1</v>
      </c>
      <c r="K44" s="49">
        <v>1</v>
      </c>
      <c r="L44" s="49">
        <v>0</v>
      </c>
      <c r="M44" s="49">
        <v>0</v>
      </c>
      <c r="N44" s="49">
        <v>0</v>
      </c>
      <c r="O44" s="49">
        <v>0</v>
      </c>
      <c r="P44" s="49">
        <v>0</v>
      </c>
      <c r="Q44" s="49">
        <v>0</v>
      </c>
      <c r="R44" s="49">
        <v>0</v>
      </c>
      <c r="S44" s="49">
        <v>0</v>
      </c>
      <c r="T44" s="49">
        <v>0</v>
      </c>
      <c r="U44" s="49">
        <v>0</v>
      </c>
      <c r="V44" s="49">
        <v>0</v>
      </c>
      <c r="W44" s="49">
        <v>0</v>
      </c>
      <c r="X44" s="49">
        <v>1</v>
      </c>
      <c r="Y44" s="49">
        <v>0</v>
      </c>
      <c r="Z44" s="49">
        <v>0</v>
      </c>
      <c r="AA44" s="49">
        <v>0</v>
      </c>
      <c r="AB44" s="49">
        <v>0</v>
      </c>
      <c r="AC44" s="49">
        <v>2</v>
      </c>
      <c r="AD44" s="49">
        <v>0</v>
      </c>
      <c r="AE44" s="49">
        <v>0</v>
      </c>
      <c r="AF44" s="49">
        <v>1</v>
      </c>
      <c r="AG44" s="49">
        <v>0</v>
      </c>
      <c r="AH44" s="49">
        <v>0</v>
      </c>
      <c r="AI44" s="49">
        <v>0</v>
      </c>
      <c r="AJ44" s="49">
        <v>0</v>
      </c>
      <c r="AK44" s="49">
        <v>2</v>
      </c>
      <c r="AL44" s="49">
        <v>0</v>
      </c>
      <c r="AM44" s="49">
        <v>0</v>
      </c>
      <c r="AN44" s="49">
        <v>0</v>
      </c>
      <c r="AO44" s="49">
        <v>0</v>
      </c>
      <c r="AP44" s="49">
        <v>0</v>
      </c>
      <c r="AQ44" s="49">
        <v>0</v>
      </c>
      <c r="AR44" s="49">
        <v>0</v>
      </c>
      <c r="AS44" s="49">
        <v>0</v>
      </c>
      <c r="AT44" s="49">
        <v>0</v>
      </c>
      <c r="AU44" s="49">
        <v>0</v>
      </c>
      <c r="AV44" s="49">
        <v>0</v>
      </c>
      <c r="AW44" s="49">
        <v>0</v>
      </c>
      <c r="AX44" s="49">
        <v>0</v>
      </c>
      <c r="AY44" s="49">
        <v>0</v>
      </c>
      <c r="AZ44" s="49">
        <v>0</v>
      </c>
      <c r="BA44" s="49">
        <v>0</v>
      </c>
      <c r="BB44" s="49">
        <v>0</v>
      </c>
      <c r="BC44" s="49">
        <v>0</v>
      </c>
      <c r="BD44" s="49">
        <v>0</v>
      </c>
      <c r="BE44" s="49">
        <v>0</v>
      </c>
      <c r="BF44" s="49">
        <v>0</v>
      </c>
    </row>
    <row r="45" spans="1:58" s="51" customFormat="1" x14ac:dyDescent="0.25">
      <c r="A45" s="403" t="s">
        <v>406</v>
      </c>
      <c r="B45" s="50" t="s">
        <v>399</v>
      </c>
      <c r="C45" s="51">
        <v>0</v>
      </c>
      <c r="D45" s="51">
        <v>0</v>
      </c>
      <c r="E45" s="51">
        <v>0</v>
      </c>
      <c r="F45" s="51">
        <v>3</v>
      </c>
      <c r="G45" s="51">
        <v>2</v>
      </c>
      <c r="H45" s="51">
        <v>0</v>
      </c>
      <c r="I45" s="51">
        <v>0</v>
      </c>
      <c r="J45" s="51">
        <v>0</v>
      </c>
      <c r="K45" s="51">
        <v>0</v>
      </c>
      <c r="L45" s="51">
        <v>0</v>
      </c>
      <c r="M45" s="51">
        <v>0</v>
      </c>
      <c r="N45" s="51">
        <v>1</v>
      </c>
      <c r="O45" s="51">
        <v>0</v>
      </c>
      <c r="P45" s="51">
        <v>0</v>
      </c>
      <c r="Q45" s="51">
        <v>0</v>
      </c>
      <c r="R45" s="51">
        <v>0</v>
      </c>
      <c r="S45" s="51">
        <v>0</v>
      </c>
      <c r="T45" s="51">
        <v>0</v>
      </c>
      <c r="U45" s="51">
        <v>0</v>
      </c>
      <c r="V45" s="51">
        <v>0</v>
      </c>
      <c r="W45" s="51">
        <v>3</v>
      </c>
      <c r="X45" s="51">
        <v>0</v>
      </c>
      <c r="Y45" s="51">
        <v>0</v>
      </c>
      <c r="Z45" s="51">
        <v>1</v>
      </c>
      <c r="AA45" s="51">
        <v>0</v>
      </c>
      <c r="AB45" s="51">
        <v>0</v>
      </c>
      <c r="AC45" s="51">
        <v>0</v>
      </c>
      <c r="AD45" s="51">
        <v>1</v>
      </c>
      <c r="AE45" s="51">
        <v>0</v>
      </c>
      <c r="AF45" s="51">
        <v>0</v>
      </c>
      <c r="AG45" s="51">
        <v>0</v>
      </c>
      <c r="AH45" s="51">
        <v>1</v>
      </c>
      <c r="AI45" s="51">
        <v>3</v>
      </c>
      <c r="AJ45" s="51">
        <v>0</v>
      </c>
      <c r="AK45" s="51">
        <v>0</v>
      </c>
      <c r="AL45" s="51">
        <v>0</v>
      </c>
      <c r="AM45" s="51">
        <v>0</v>
      </c>
      <c r="AN45" s="51">
        <v>2</v>
      </c>
      <c r="AO45" s="51">
        <v>0</v>
      </c>
      <c r="AP45" s="51">
        <v>0</v>
      </c>
      <c r="AQ45" s="51">
        <v>2</v>
      </c>
      <c r="AR45" s="51">
        <v>0</v>
      </c>
      <c r="AS45" s="51">
        <v>0</v>
      </c>
      <c r="AT45" s="51">
        <v>0</v>
      </c>
      <c r="AU45" s="51">
        <v>2</v>
      </c>
      <c r="AV45" s="51">
        <v>1</v>
      </c>
      <c r="AW45" s="51">
        <v>0</v>
      </c>
      <c r="AX45" s="51">
        <v>1</v>
      </c>
      <c r="AY45" s="51">
        <v>2</v>
      </c>
      <c r="AZ45" s="51">
        <v>0</v>
      </c>
      <c r="BA45" s="51">
        <v>0</v>
      </c>
      <c r="BB45" s="51">
        <v>0</v>
      </c>
      <c r="BC45" s="51">
        <v>1</v>
      </c>
      <c r="BD45" s="51">
        <v>2</v>
      </c>
      <c r="BE45" s="51">
        <v>1</v>
      </c>
      <c r="BF45" s="51">
        <v>2</v>
      </c>
    </row>
    <row r="46" spans="1:58" s="49" customFormat="1" x14ac:dyDescent="0.25">
      <c r="A46" s="403"/>
      <c r="B46" s="48" t="s">
        <v>400</v>
      </c>
      <c r="C46" s="49">
        <v>0</v>
      </c>
      <c r="D46" s="49">
        <v>0</v>
      </c>
      <c r="E46" s="49">
        <v>0</v>
      </c>
      <c r="F46" s="49">
        <v>0</v>
      </c>
      <c r="G46" s="49">
        <v>0</v>
      </c>
      <c r="H46" s="49">
        <v>0</v>
      </c>
      <c r="I46" s="49">
        <v>0</v>
      </c>
      <c r="J46" s="49">
        <v>0</v>
      </c>
      <c r="K46" s="49">
        <v>0</v>
      </c>
      <c r="L46" s="49">
        <v>1</v>
      </c>
      <c r="M46" s="49">
        <v>0</v>
      </c>
      <c r="N46" s="49">
        <v>1</v>
      </c>
      <c r="O46" s="49">
        <v>0</v>
      </c>
      <c r="P46" s="49">
        <v>0</v>
      </c>
      <c r="Q46" s="49">
        <v>0</v>
      </c>
      <c r="R46" s="49">
        <v>0</v>
      </c>
      <c r="S46" s="49">
        <v>0</v>
      </c>
      <c r="T46" s="49">
        <v>0</v>
      </c>
      <c r="U46" s="49">
        <v>0</v>
      </c>
      <c r="V46" s="49">
        <v>0</v>
      </c>
      <c r="W46" s="49">
        <v>0</v>
      </c>
      <c r="X46" s="49">
        <v>0</v>
      </c>
      <c r="Y46" s="49">
        <v>0</v>
      </c>
      <c r="Z46" s="49">
        <v>0</v>
      </c>
      <c r="AA46" s="49">
        <v>0</v>
      </c>
      <c r="AB46" s="49">
        <v>1</v>
      </c>
      <c r="AC46" s="49">
        <v>0</v>
      </c>
      <c r="AD46" s="49">
        <v>1</v>
      </c>
      <c r="AE46" s="49">
        <v>0</v>
      </c>
      <c r="AF46" s="49">
        <v>0</v>
      </c>
      <c r="AG46" s="49">
        <v>0</v>
      </c>
      <c r="AH46" s="49">
        <v>0</v>
      </c>
      <c r="AI46" s="49">
        <v>3</v>
      </c>
      <c r="AJ46" s="49">
        <v>2</v>
      </c>
      <c r="AK46" s="49">
        <v>1</v>
      </c>
      <c r="AL46" s="49">
        <v>0</v>
      </c>
      <c r="AM46" s="49">
        <v>0</v>
      </c>
      <c r="AN46" s="49">
        <v>0</v>
      </c>
      <c r="AO46" s="49">
        <v>0</v>
      </c>
      <c r="AP46" s="49">
        <v>0</v>
      </c>
      <c r="AQ46" s="49">
        <v>2</v>
      </c>
      <c r="AR46" s="49">
        <v>0</v>
      </c>
      <c r="AS46" s="49">
        <v>0</v>
      </c>
      <c r="AT46" s="49">
        <v>0</v>
      </c>
      <c r="AU46" s="49">
        <v>0</v>
      </c>
      <c r="AV46" s="49">
        <v>0</v>
      </c>
      <c r="AW46" s="49">
        <v>0</v>
      </c>
      <c r="AX46" s="49">
        <v>0</v>
      </c>
      <c r="AY46" s="49">
        <v>0</v>
      </c>
      <c r="AZ46" s="49">
        <v>0</v>
      </c>
      <c r="BA46" s="49">
        <v>0</v>
      </c>
      <c r="BB46" s="49">
        <v>1</v>
      </c>
      <c r="BC46" s="49">
        <v>1</v>
      </c>
      <c r="BD46" s="49">
        <v>1</v>
      </c>
      <c r="BE46" s="49">
        <v>1</v>
      </c>
      <c r="BF46" s="49">
        <v>2</v>
      </c>
    </row>
    <row r="47" spans="1:58" s="51" customFormat="1" x14ac:dyDescent="0.25">
      <c r="A47" s="403"/>
      <c r="B47" s="50" t="s">
        <v>401</v>
      </c>
      <c r="C47" s="51">
        <v>0</v>
      </c>
      <c r="D47" s="51">
        <v>0</v>
      </c>
      <c r="E47" s="51">
        <v>1</v>
      </c>
      <c r="F47" s="51">
        <v>0</v>
      </c>
      <c r="G47" s="51">
        <v>0</v>
      </c>
      <c r="H47" s="51">
        <v>0</v>
      </c>
      <c r="I47" s="51">
        <v>0</v>
      </c>
      <c r="J47" s="51">
        <v>0</v>
      </c>
      <c r="K47" s="51">
        <v>0</v>
      </c>
      <c r="L47" s="51">
        <v>1</v>
      </c>
      <c r="M47" s="51">
        <v>0</v>
      </c>
      <c r="N47" s="51">
        <v>2</v>
      </c>
      <c r="O47" s="51">
        <v>0</v>
      </c>
      <c r="P47" s="51">
        <v>0</v>
      </c>
      <c r="Q47" s="51">
        <v>0</v>
      </c>
      <c r="R47" s="51">
        <v>0</v>
      </c>
      <c r="S47" s="51">
        <v>0</v>
      </c>
      <c r="T47" s="51">
        <v>0</v>
      </c>
      <c r="U47" s="51">
        <v>0</v>
      </c>
      <c r="V47" s="51">
        <v>0</v>
      </c>
      <c r="W47" s="51">
        <v>0</v>
      </c>
      <c r="X47" s="51">
        <v>0</v>
      </c>
      <c r="Y47" s="51">
        <v>1</v>
      </c>
      <c r="Z47" s="51">
        <v>0</v>
      </c>
      <c r="AA47" s="51">
        <v>0</v>
      </c>
      <c r="AB47" s="51">
        <v>0</v>
      </c>
      <c r="AC47" s="51">
        <v>0</v>
      </c>
      <c r="AD47" s="51">
        <v>1</v>
      </c>
      <c r="AE47" s="51">
        <v>1</v>
      </c>
      <c r="AF47" s="51">
        <v>0</v>
      </c>
      <c r="AG47" s="51">
        <v>0</v>
      </c>
      <c r="AH47" s="51">
        <v>0</v>
      </c>
      <c r="AI47" s="51">
        <v>3</v>
      </c>
      <c r="AJ47" s="51">
        <v>0</v>
      </c>
      <c r="AK47" s="51">
        <v>0</v>
      </c>
      <c r="AL47" s="51">
        <v>0</v>
      </c>
      <c r="AM47" s="51">
        <v>0</v>
      </c>
      <c r="AN47" s="51">
        <v>2</v>
      </c>
      <c r="AO47" s="51">
        <v>0</v>
      </c>
      <c r="AP47" s="51">
        <v>0</v>
      </c>
      <c r="AQ47" s="51">
        <v>2</v>
      </c>
      <c r="AR47" s="51">
        <v>0</v>
      </c>
      <c r="AS47" s="51">
        <v>0</v>
      </c>
      <c r="AT47" s="51">
        <v>0</v>
      </c>
      <c r="AU47" s="51">
        <v>0</v>
      </c>
      <c r="AV47" s="51">
        <v>0</v>
      </c>
      <c r="AW47" s="51">
        <v>0</v>
      </c>
      <c r="AX47" s="51">
        <v>0</v>
      </c>
      <c r="AY47" s="51">
        <v>0</v>
      </c>
      <c r="AZ47" s="51">
        <v>0</v>
      </c>
      <c r="BA47" s="51">
        <v>0</v>
      </c>
      <c r="BB47" s="51">
        <v>0</v>
      </c>
      <c r="BC47" s="51">
        <v>2</v>
      </c>
      <c r="BD47" s="51">
        <v>1</v>
      </c>
      <c r="BE47" s="51">
        <v>2</v>
      </c>
      <c r="BF47" s="51">
        <v>2</v>
      </c>
    </row>
    <row r="48" spans="1:58" s="101" customFormat="1" x14ac:dyDescent="0.25">
      <c r="A48" s="403"/>
      <c r="B48" s="100" t="s">
        <v>402</v>
      </c>
      <c r="C48" s="101">
        <v>0</v>
      </c>
      <c r="D48" s="101">
        <v>0</v>
      </c>
      <c r="E48" s="101">
        <v>0</v>
      </c>
      <c r="F48" s="101">
        <v>0</v>
      </c>
      <c r="G48" s="101">
        <v>0</v>
      </c>
      <c r="H48" s="101">
        <v>0</v>
      </c>
      <c r="I48" s="101">
        <v>0</v>
      </c>
      <c r="J48" s="101">
        <v>0</v>
      </c>
      <c r="K48" s="101">
        <v>0</v>
      </c>
      <c r="L48" s="101">
        <v>0</v>
      </c>
      <c r="M48" s="101">
        <v>0</v>
      </c>
      <c r="N48" s="101">
        <v>0</v>
      </c>
      <c r="O48" s="101">
        <v>0</v>
      </c>
      <c r="P48" s="101">
        <v>0</v>
      </c>
      <c r="Q48" s="101">
        <v>0</v>
      </c>
      <c r="R48" s="101">
        <v>0</v>
      </c>
      <c r="S48" s="101">
        <v>0</v>
      </c>
      <c r="T48" s="101">
        <v>0</v>
      </c>
      <c r="U48" s="101">
        <v>0</v>
      </c>
      <c r="V48" s="101">
        <v>0</v>
      </c>
      <c r="W48" s="101">
        <v>0</v>
      </c>
      <c r="X48" s="101">
        <v>0</v>
      </c>
      <c r="Y48" s="101">
        <v>0</v>
      </c>
      <c r="Z48" s="101">
        <v>0</v>
      </c>
      <c r="AA48" s="101">
        <v>0</v>
      </c>
      <c r="AB48" s="101">
        <v>0</v>
      </c>
      <c r="AC48" s="101">
        <v>0</v>
      </c>
      <c r="AD48" s="101">
        <v>0</v>
      </c>
      <c r="AE48" s="101">
        <v>0</v>
      </c>
      <c r="AF48" s="101">
        <v>1</v>
      </c>
      <c r="AG48" s="101">
        <v>0</v>
      </c>
      <c r="AH48" s="101">
        <v>0</v>
      </c>
      <c r="AI48" s="101">
        <v>0</v>
      </c>
      <c r="AJ48" s="101">
        <v>0</v>
      </c>
      <c r="AK48" s="101">
        <v>2</v>
      </c>
      <c r="AL48" s="101">
        <v>0</v>
      </c>
      <c r="AM48" s="101">
        <v>0</v>
      </c>
      <c r="AN48" s="101">
        <v>0</v>
      </c>
      <c r="AO48" s="101">
        <v>0</v>
      </c>
      <c r="AP48" s="101">
        <v>0</v>
      </c>
      <c r="AQ48" s="101">
        <v>0</v>
      </c>
      <c r="AR48" s="101">
        <v>0</v>
      </c>
      <c r="AS48" s="101">
        <v>0</v>
      </c>
      <c r="AT48" s="101">
        <v>0</v>
      </c>
      <c r="AU48" s="101">
        <v>0</v>
      </c>
      <c r="AV48" s="101">
        <v>0</v>
      </c>
      <c r="AW48" s="101">
        <v>0</v>
      </c>
      <c r="AX48" s="101">
        <v>0</v>
      </c>
      <c r="AY48" s="101">
        <v>0</v>
      </c>
      <c r="AZ48" s="101">
        <v>0</v>
      </c>
      <c r="BA48" s="101">
        <v>0</v>
      </c>
      <c r="BB48" s="101">
        <v>0</v>
      </c>
      <c r="BC48" s="101">
        <v>1</v>
      </c>
      <c r="BD48" s="101">
        <v>0</v>
      </c>
      <c r="BE48" s="101">
        <v>1</v>
      </c>
      <c r="BF48" s="101">
        <v>0</v>
      </c>
    </row>
    <row r="49" spans="1:58" s="92" customFormat="1" ht="7.5" customHeight="1" x14ac:dyDescent="0.25">
      <c r="A49" s="96"/>
      <c r="B49" s="91"/>
    </row>
    <row r="50" spans="1:58" s="95" customFormat="1" x14ac:dyDescent="0.25">
      <c r="A50" s="403" t="s">
        <v>409</v>
      </c>
      <c r="B50" s="94">
        <v>1</v>
      </c>
      <c r="C50" s="95" t="s">
        <v>270</v>
      </c>
      <c r="E50" s="95" t="s">
        <v>270</v>
      </c>
      <c r="H50" s="95" t="s">
        <v>325</v>
      </c>
      <c r="M50" s="95" t="s">
        <v>290</v>
      </c>
      <c r="O50" s="95" t="s">
        <v>331</v>
      </c>
      <c r="P50" s="95" t="s">
        <v>278</v>
      </c>
      <c r="Q50" s="95" t="s">
        <v>278</v>
      </c>
      <c r="R50" s="95" t="s">
        <v>302</v>
      </c>
      <c r="T50" s="95" t="s">
        <v>413</v>
      </c>
      <c r="U50" s="95" t="s">
        <v>415</v>
      </c>
      <c r="V50" s="95" t="s">
        <v>415</v>
      </c>
      <c r="W50" s="95" t="s">
        <v>416</v>
      </c>
      <c r="X50" s="95" t="s">
        <v>415</v>
      </c>
      <c r="Y50" s="95" t="s">
        <v>415</v>
      </c>
      <c r="Z50" s="95" t="s">
        <v>382</v>
      </c>
      <c r="AA50" s="95" t="s">
        <v>421</v>
      </c>
      <c r="AB50" s="95" t="s">
        <v>415</v>
      </c>
      <c r="AC50" s="95" t="s">
        <v>415</v>
      </c>
      <c r="AD50" s="95" t="s">
        <v>422</v>
      </c>
      <c r="AE50" s="95" t="s">
        <v>424</v>
      </c>
      <c r="AF50" s="95" t="s">
        <v>426</v>
      </c>
      <c r="AG50" s="95" t="s">
        <v>415</v>
      </c>
      <c r="AH50" s="95" t="s">
        <v>413</v>
      </c>
      <c r="AI50" s="95" t="s">
        <v>428</v>
      </c>
      <c r="AJ50" s="95" t="s">
        <v>415</v>
      </c>
      <c r="AK50" s="95" t="s">
        <v>413</v>
      </c>
      <c r="AL50" s="95" t="s">
        <v>415</v>
      </c>
      <c r="AM50" s="95" t="s">
        <v>432</v>
      </c>
      <c r="AN50" s="95" t="s">
        <v>433</v>
      </c>
      <c r="AO50" s="95" t="s">
        <v>415</v>
      </c>
      <c r="AP50" s="95" t="s">
        <v>382</v>
      </c>
      <c r="AQ50" s="95" t="s">
        <v>415</v>
      </c>
      <c r="AR50" s="95" t="s">
        <v>415</v>
      </c>
      <c r="AS50" s="95" t="s">
        <v>426</v>
      </c>
      <c r="AT50" s="95" t="s">
        <v>435</v>
      </c>
      <c r="AU50" s="95" t="s">
        <v>422</v>
      </c>
      <c r="AV50" s="95" t="s">
        <v>437</v>
      </c>
      <c r="AW50" s="95" t="s">
        <v>413</v>
      </c>
      <c r="AX50" s="95" t="s">
        <v>415</v>
      </c>
      <c r="AY50" s="95" t="s">
        <v>439</v>
      </c>
      <c r="AZ50" s="95" t="s">
        <v>440</v>
      </c>
      <c r="BA50" s="95" t="s">
        <v>415</v>
      </c>
      <c r="BB50" s="95" t="s">
        <v>415</v>
      </c>
      <c r="BC50" s="95" t="s">
        <v>382</v>
      </c>
      <c r="BD50" s="95" t="s">
        <v>415</v>
      </c>
      <c r="BE50" s="95" t="s">
        <v>415</v>
      </c>
      <c r="BF50" s="95" t="s">
        <v>441</v>
      </c>
    </row>
    <row r="51" spans="1:58" s="49" customFormat="1" x14ac:dyDescent="0.25">
      <c r="A51" s="403"/>
      <c r="B51" s="48">
        <v>2</v>
      </c>
      <c r="C51" s="49" t="s">
        <v>274</v>
      </c>
      <c r="E51" s="49" t="s">
        <v>311</v>
      </c>
      <c r="M51" s="49" t="s">
        <v>345</v>
      </c>
      <c r="R51" s="49" t="s">
        <v>276</v>
      </c>
      <c r="T51" s="49" t="s">
        <v>415</v>
      </c>
      <c r="U51" s="49" t="s">
        <v>415</v>
      </c>
      <c r="V51" s="49" t="s">
        <v>415</v>
      </c>
      <c r="W51" s="49" t="s">
        <v>415</v>
      </c>
      <c r="X51" s="49" t="s">
        <v>415</v>
      </c>
      <c r="Y51" s="49" t="s">
        <v>415</v>
      </c>
      <c r="Z51" s="49" t="s">
        <v>420</v>
      </c>
      <c r="AA51" s="49" t="s">
        <v>415</v>
      </c>
      <c r="AB51" s="49" t="s">
        <v>415</v>
      </c>
      <c r="AC51" s="49" t="s">
        <v>415</v>
      </c>
      <c r="AD51" s="49" t="s">
        <v>415</v>
      </c>
      <c r="AE51" s="49" t="s">
        <v>425</v>
      </c>
      <c r="AF51" s="49" t="s">
        <v>415</v>
      </c>
      <c r="AG51" s="49" t="s">
        <v>415</v>
      </c>
      <c r="AH51" s="49" t="s">
        <v>427</v>
      </c>
      <c r="AI51" s="49" t="s">
        <v>415</v>
      </c>
      <c r="AJ51" s="49" t="s">
        <v>415</v>
      </c>
      <c r="AK51" s="49" t="s">
        <v>431</v>
      </c>
      <c r="AL51" s="49" t="s">
        <v>415</v>
      </c>
      <c r="AM51" s="49" t="s">
        <v>415</v>
      </c>
      <c r="AN51" s="49" t="s">
        <v>415</v>
      </c>
      <c r="AO51" s="49" t="s">
        <v>415</v>
      </c>
      <c r="AP51" s="49" t="s">
        <v>434</v>
      </c>
      <c r="AQ51" s="49" t="s">
        <v>415</v>
      </c>
      <c r="AR51" s="49" t="s">
        <v>415</v>
      </c>
      <c r="AS51" s="49" t="s">
        <v>415</v>
      </c>
      <c r="AT51" s="49" t="s">
        <v>415</v>
      </c>
      <c r="AU51" s="49" t="s">
        <v>415</v>
      </c>
      <c r="AV51" s="49" t="s">
        <v>415</v>
      </c>
      <c r="AW51" s="49" t="s">
        <v>438</v>
      </c>
      <c r="AX51" s="49" t="s">
        <v>415</v>
      </c>
      <c r="AY51" s="49" t="s">
        <v>415</v>
      </c>
      <c r="AZ51" s="49" t="s">
        <v>415</v>
      </c>
      <c r="BA51" s="49" t="s">
        <v>415</v>
      </c>
      <c r="BB51" s="49" t="s">
        <v>415</v>
      </c>
      <c r="BC51" s="49" t="s">
        <v>420</v>
      </c>
      <c r="BD51" s="49" t="s">
        <v>415</v>
      </c>
      <c r="BE51" s="49" t="s">
        <v>415</v>
      </c>
      <c r="BF51" s="49" t="s">
        <v>415</v>
      </c>
    </row>
    <row r="52" spans="1:58" s="51" customFormat="1" x14ac:dyDescent="0.25">
      <c r="A52" s="403"/>
      <c r="B52" s="50">
        <v>3</v>
      </c>
      <c r="T52" s="51" t="s">
        <v>415</v>
      </c>
      <c r="U52" s="51" t="s">
        <v>415</v>
      </c>
      <c r="V52" s="51" t="s">
        <v>415</v>
      </c>
      <c r="W52" s="51" t="s">
        <v>415</v>
      </c>
      <c r="X52" s="51" t="s">
        <v>415</v>
      </c>
      <c r="Y52" s="51" t="s">
        <v>415</v>
      </c>
      <c r="Z52" s="51" t="s">
        <v>415</v>
      </c>
      <c r="AA52" s="51" t="s">
        <v>415</v>
      </c>
      <c r="AB52" s="51" t="s">
        <v>415</v>
      </c>
      <c r="AC52" s="51" t="s">
        <v>415</v>
      </c>
      <c r="AD52" s="51" t="s">
        <v>415</v>
      </c>
      <c r="AE52" s="51" t="s">
        <v>415</v>
      </c>
      <c r="AF52" s="51" t="s">
        <v>415</v>
      </c>
      <c r="AG52" s="51" t="s">
        <v>415</v>
      </c>
      <c r="AH52" s="51" t="s">
        <v>415</v>
      </c>
      <c r="AI52" s="51" t="s">
        <v>415</v>
      </c>
      <c r="AJ52" s="51" t="s">
        <v>415</v>
      </c>
      <c r="AK52" s="51" t="s">
        <v>415</v>
      </c>
      <c r="AL52" s="51" t="s">
        <v>415</v>
      </c>
      <c r="AM52" s="51" t="s">
        <v>415</v>
      </c>
      <c r="AN52" s="51" t="s">
        <v>415</v>
      </c>
      <c r="AO52" s="51" t="s">
        <v>415</v>
      </c>
      <c r="AP52" s="51" t="s">
        <v>415</v>
      </c>
      <c r="AQ52" s="51" t="s">
        <v>415</v>
      </c>
      <c r="AR52" s="51" t="s">
        <v>415</v>
      </c>
      <c r="AS52" s="51" t="s">
        <v>415</v>
      </c>
      <c r="AT52" s="51" t="s">
        <v>415</v>
      </c>
      <c r="AU52" s="51" t="s">
        <v>415</v>
      </c>
      <c r="AV52" s="51" t="s">
        <v>415</v>
      </c>
      <c r="AW52" s="51" t="s">
        <v>415</v>
      </c>
      <c r="AX52" s="51" t="s">
        <v>415</v>
      </c>
      <c r="AY52" s="51" t="s">
        <v>415</v>
      </c>
      <c r="AZ52" s="51" t="s">
        <v>415</v>
      </c>
      <c r="BA52" s="51" t="s">
        <v>415</v>
      </c>
      <c r="BB52" s="51" t="s">
        <v>415</v>
      </c>
      <c r="BC52" s="51" t="s">
        <v>415</v>
      </c>
      <c r="BD52" s="51" t="s">
        <v>415</v>
      </c>
      <c r="BE52" s="51" t="s">
        <v>415</v>
      </c>
      <c r="BF52" s="51" t="s">
        <v>415</v>
      </c>
    </row>
    <row r="53" spans="1:58" s="49" customFormat="1" x14ac:dyDescent="0.25">
      <c r="A53" s="403"/>
      <c r="B53" s="48">
        <v>4</v>
      </c>
      <c r="T53" s="49" t="s">
        <v>415</v>
      </c>
      <c r="U53" s="49" t="s">
        <v>415</v>
      </c>
      <c r="V53" s="49" t="s">
        <v>415</v>
      </c>
      <c r="W53" s="49" t="s">
        <v>415</v>
      </c>
      <c r="X53" s="49" t="s">
        <v>415</v>
      </c>
      <c r="Y53" s="49" t="s">
        <v>415</v>
      </c>
      <c r="Z53" s="49" t="s">
        <v>415</v>
      </c>
      <c r="AA53" s="49" t="s">
        <v>415</v>
      </c>
      <c r="AB53" s="49" t="s">
        <v>415</v>
      </c>
      <c r="AC53" s="49" t="s">
        <v>415</v>
      </c>
      <c r="AD53" s="49" t="s">
        <v>415</v>
      </c>
      <c r="AE53" s="49" t="s">
        <v>415</v>
      </c>
      <c r="AF53" s="49" t="s">
        <v>415</v>
      </c>
      <c r="AG53" s="49" t="s">
        <v>415</v>
      </c>
      <c r="AH53" s="49" t="s">
        <v>415</v>
      </c>
      <c r="AI53" s="49" t="s">
        <v>415</v>
      </c>
      <c r="AJ53" s="49" t="s">
        <v>415</v>
      </c>
      <c r="AK53" s="49" t="s">
        <v>415</v>
      </c>
      <c r="AL53" s="49" t="s">
        <v>415</v>
      </c>
      <c r="AM53" s="49" t="s">
        <v>415</v>
      </c>
      <c r="AN53" s="49" t="s">
        <v>415</v>
      </c>
      <c r="AO53" s="49" t="s">
        <v>415</v>
      </c>
      <c r="AP53" s="49" t="s">
        <v>415</v>
      </c>
      <c r="AQ53" s="49" t="s">
        <v>415</v>
      </c>
      <c r="AR53" s="49" t="s">
        <v>415</v>
      </c>
      <c r="AS53" s="49" t="s">
        <v>415</v>
      </c>
      <c r="AT53" s="49" t="s">
        <v>415</v>
      </c>
      <c r="AU53" s="49" t="s">
        <v>415</v>
      </c>
      <c r="AV53" s="49" t="s">
        <v>415</v>
      </c>
      <c r="AW53" s="49" t="s">
        <v>415</v>
      </c>
      <c r="AX53" s="49" t="s">
        <v>415</v>
      </c>
      <c r="AY53" s="49" t="s">
        <v>415</v>
      </c>
      <c r="AZ53" s="49" t="s">
        <v>415</v>
      </c>
      <c r="BA53" s="49" t="s">
        <v>415</v>
      </c>
      <c r="BB53" s="49" t="s">
        <v>415</v>
      </c>
      <c r="BC53" s="49" t="s">
        <v>415</v>
      </c>
      <c r="BD53" s="49" t="s">
        <v>415</v>
      </c>
      <c r="BE53" s="49" t="s">
        <v>415</v>
      </c>
      <c r="BF53" s="49" t="s">
        <v>415</v>
      </c>
    </row>
    <row r="54" spans="1:58" s="51" customFormat="1" x14ac:dyDescent="0.25">
      <c r="A54" s="403"/>
      <c r="B54" s="50">
        <v>5</v>
      </c>
      <c r="T54" s="51" t="s">
        <v>415</v>
      </c>
      <c r="U54" s="51" t="s">
        <v>415</v>
      </c>
      <c r="V54" s="51" t="s">
        <v>415</v>
      </c>
      <c r="W54" s="51" t="s">
        <v>415</v>
      </c>
      <c r="X54" s="51" t="s">
        <v>415</v>
      </c>
      <c r="Y54" s="51" t="s">
        <v>415</v>
      </c>
      <c r="Z54" s="51" t="s">
        <v>415</v>
      </c>
      <c r="AA54" s="51" t="s">
        <v>415</v>
      </c>
      <c r="AB54" s="51" t="s">
        <v>415</v>
      </c>
      <c r="AC54" s="51" t="s">
        <v>415</v>
      </c>
      <c r="AD54" s="51" t="s">
        <v>415</v>
      </c>
      <c r="AE54" s="51" t="s">
        <v>415</v>
      </c>
      <c r="AF54" s="51" t="s">
        <v>415</v>
      </c>
      <c r="AG54" s="51" t="s">
        <v>415</v>
      </c>
      <c r="AH54" s="51" t="s">
        <v>415</v>
      </c>
      <c r="AI54" s="51" t="s">
        <v>415</v>
      </c>
      <c r="AJ54" s="51" t="s">
        <v>415</v>
      </c>
      <c r="AK54" s="51" t="s">
        <v>415</v>
      </c>
      <c r="AL54" s="51" t="s">
        <v>415</v>
      </c>
      <c r="AM54" s="51" t="s">
        <v>415</v>
      </c>
      <c r="AN54" s="51" t="s">
        <v>415</v>
      </c>
      <c r="AO54" s="51" t="s">
        <v>415</v>
      </c>
      <c r="AP54" s="51" t="s">
        <v>415</v>
      </c>
      <c r="AQ54" s="51" t="s">
        <v>415</v>
      </c>
      <c r="AR54" s="51" t="s">
        <v>415</v>
      </c>
      <c r="AS54" s="51" t="s">
        <v>415</v>
      </c>
      <c r="AT54" s="51" t="s">
        <v>415</v>
      </c>
      <c r="AU54" s="51" t="s">
        <v>415</v>
      </c>
      <c r="AV54" s="51" t="s">
        <v>415</v>
      </c>
      <c r="AW54" s="51" t="s">
        <v>415</v>
      </c>
      <c r="AX54" s="51" t="s">
        <v>415</v>
      </c>
      <c r="AY54" s="51" t="s">
        <v>415</v>
      </c>
      <c r="AZ54" s="51" t="s">
        <v>415</v>
      </c>
      <c r="BA54" s="51" t="s">
        <v>415</v>
      </c>
      <c r="BB54" s="51" t="s">
        <v>415</v>
      </c>
      <c r="BC54" s="51" t="s">
        <v>415</v>
      </c>
      <c r="BD54" s="51" t="s">
        <v>415</v>
      </c>
      <c r="BE54" s="51" t="s">
        <v>415</v>
      </c>
      <c r="BF54" s="51" t="s">
        <v>415</v>
      </c>
    </row>
    <row r="55" spans="1:58" s="49" customFormat="1" x14ac:dyDescent="0.25">
      <c r="A55" s="403" t="s">
        <v>410</v>
      </c>
      <c r="B55" s="48">
        <v>1</v>
      </c>
      <c r="D55" s="49" t="s">
        <v>276</v>
      </c>
      <c r="E55" s="49" t="s">
        <v>319</v>
      </c>
      <c r="I55" s="49" t="s">
        <v>325</v>
      </c>
      <c r="J55" s="49" t="s">
        <v>286</v>
      </c>
      <c r="K55" s="49" t="s">
        <v>286</v>
      </c>
      <c r="P55" s="49" t="s">
        <v>304</v>
      </c>
      <c r="Q55" s="49" t="s">
        <v>304</v>
      </c>
      <c r="R55" s="49" t="s">
        <v>304</v>
      </c>
      <c r="S55" s="49" t="s">
        <v>288</v>
      </c>
      <c r="T55" s="49" t="s">
        <v>415</v>
      </c>
      <c r="U55" s="49" t="s">
        <v>415</v>
      </c>
      <c r="V55" s="49" t="s">
        <v>415</v>
      </c>
      <c r="W55" s="49" t="s">
        <v>417</v>
      </c>
      <c r="X55" s="49" t="s">
        <v>412</v>
      </c>
      <c r="Y55" s="49" t="s">
        <v>415</v>
      </c>
      <c r="Z55" s="49" t="s">
        <v>415</v>
      </c>
      <c r="AA55" s="49" t="s">
        <v>415</v>
      </c>
      <c r="AB55" s="49" t="s">
        <v>415</v>
      </c>
      <c r="AC55" s="49" t="s">
        <v>415</v>
      </c>
      <c r="AD55" s="49" t="s">
        <v>423</v>
      </c>
      <c r="AE55" s="49" t="s">
        <v>415</v>
      </c>
      <c r="AF55" s="49" t="s">
        <v>415</v>
      </c>
      <c r="AG55" s="49" t="s">
        <v>415</v>
      </c>
      <c r="AH55" s="49" t="s">
        <v>415</v>
      </c>
      <c r="AI55" s="49" t="s">
        <v>429</v>
      </c>
      <c r="AJ55" s="49" t="s">
        <v>415</v>
      </c>
      <c r="AK55" s="49" t="s">
        <v>430</v>
      </c>
      <c r="AL55" s="49" t="s">
        <v>415</v>
      </c>
      <c r="AM55" s="49" t="s">
        <v>415</v>
      </c>
      <c r="AN55" s="49" t="s">
        <v>415</v>
      </c>
      <c r="AO55" s="49" t="s">
        <v>415</v>
      </c>
      <c r="AP55" s="49" t="s">
        <v>415</v>
      </c>
      <c r="AQ55" s="49" t="s">
        <v>415</v>
      </c>
      <c r="AR55" s="49" t="s">
        <v>415</v>
      </c>
      <c r="AS55" s="49" t="s">
        <v>415</v>
      </c>
      <c r="AT55" s="49" t="s">
        <v>415</v>
      </c>
      <c r="AU55" s="49" t="s">
        <v>436</v>
      </c>
      <c r="AV55" s="49" t="s">
        <v>415</v>
      </c>
      <c r="AW55" s="49" t="s">
        <v>415</v>
      </c>
      <c r="AX55" s="49" t="s">
        <v>415</v>
      </c>
      <c r="AY55" s="49" t="s">
        <v>415</v>
      </c>
      <c r="AZ55" s="49" t="s">
        <v>415</v>
      </c>
      <c r="BA55" s="49" t="s">
        <v>415</v>
      </c>
      <c r="BB55" s="49" t="s">
        <v>416</v>
      </c>
      <c r="BC55" s="49" t="s">
        <v>415</v>
      </c>
      <c r="BD55" s="49" t="s">
        <v>415</v>
      </c>
      <c r="BE55" s="49" t="s">
        <v>415</v>
      </c>
      <c r="BF55" s="49" t="s">
        <v>430</v>
      </c>
    </row>
    <row r="56" spans="1:58" s="51" customFormat="1" x14ac:dyDescent="0.25">
      <c r="A56" s="403"/>
      <c r="B56" s="50">
        <v>2</v>
      </c>
      <c r="P56" s="51" t="s">
        <v>306</v>
      </c>
      <c r="Q56" s="51" t="s">
        <v>306</v>
      </c>
      <c r="R56" s="51" t="s">
        <v>306</v>
      </c>
      <c r="S56" s="51" t="s">
        <v>304</v>
      </c>
      <c r="T56" s="51" t="s">
        <v>415</v>
      </c>
      <c r="U56" s="51" t="s">
        <v>415</v>
      </c>
      <c r="V56" s="51" t="s">
        <v>415</v>
      </c>
      <c r="W56" s="51" t="s">
        <v>418</v>
      </c>
      <c r="X56" s="51" t="s">
        <v>415</v>
      </c>
      <c r="Y56" s="51" t="s">
        <v>415</v>
      </c>
      <c r="Z56" s="51" t="s">
        <v>415</v>
      </c>
      <c r="AA56" s="51" t="s">
        <v>415</v>
      </c>
      <c r="AB56" s="51" t="s">
        <v>415</v>
      </c>
      <c r="AC56" s="51" t="s">
        <v>415</v>
      </c>
      <c r="AD56" s="51" t="s">
        <v>415</v>
      </c>
      <c r="AE56" s="51" t="s">
        <v>415</v>
      </c>
      <c r="AF56" s="51" t="s">
        <v>415</v>
      </c>
      <c r="AG56" s="51" t="s">
        <v>415</v>
      </c>
      <c r="AH56" s="51" t="s">
        <v>415</v>
      </c>
      <c r="AI56" s="51" t="s">
        <v>415</v>
      </c>
      <c r="AJ56" s="51" t="s">
        <v>415</v>
      </c>
      <c r="AK56" s="51" t="s">
        <v>415</v>
      </c>
      <c r="AL56" s="51" t="s">
        <v>415</v>
      </c>
      <c r="AM56" s="51" t="s">
        <v>415</v>
      </c>
      <c r="AN56" s="51" t="s">
        <v>415</v>
      </c>
      <c r="AO56" s="51" t="s">
        <v>415</v>
      </c>
      <c r="AP56" s="51" t="s">
        <v>415</v>
      </c>
      <c r="AQ56" s="51" t="s">
        <v>415</v>
      </c>
      <c r="AR56" s="51" t="s">
        <v>415</v>
      </c>
      <c r="AS56" s="51" t="s">
        <v>415</v>
      </c>
      <c r="AT56" s="51" t="s">
        <v>415</v>
      </c>
      <c r="AU56" s="51" t="s">
        <v>415</v>
      </c>
      <c r="AV56" s="51" t="s">
        <v>415</v>
      </c>
      <c r="AW56" s="51" t="s">
        <v>415</v>
      </c>
      <c r="AX56" s="51" t="s">
        <v>415</v>
      </c>
      <c r="AY56" s="51" t="s">
        <v>415</v>
      </c>
      <c r="AZ56" s="51" t="s">
        <v>415</v>
      </c>
      <c r="BA56" s="51" t="s">
        <v>415</v>
      </c>
      <c r="BB56" s="51" t="s">
        <v>415</v>
      </c>
      <c r="BC56" s="51" t="s">
        <v>415</v>
      </c>
      <c r="BD56" s="51" t="s">
        <v>415</v>
      </c>
      <c r="BE56" s="51" t="s">
        <v>415</v>
      </c>
      <c r="BF56" s="51" t="s">
        <v>442</v>
      </c>
    </row>
    <row r="57" spans="1:58" s="49" customFormat="1" x14ac:dyDescent="0.25">
      <c r="A57" s="403"/>
      <c r="B57" s="48">
        <v>3</v>
      </c>
      <c r="P57" s="49" t="s">
        <v>280</v>
      </c>
      <c r="S57" s="49" t="s">
        <v>306</v>
      </c>
      <c r="T57" s="49" t="s">
        <v>415</v>
      </c>
      <c r="U57" s="49" t="s">
        <v>415</v>
      </c>
      <c r="V57" s="49" t="s">
        <v>415</v>
      </c>
      <c r="W57" s="49" t="s">
        <v>419</v>
      </c>
      <c r="X57" s="49" t="s">
        <v>415</v>
      </c>
      <c r="Y57" s="49" t="s">
        <v>415</v>
      </c>
      <c r="Z57" s="49" t="s">
        <v>415</v>
      </c>
      <c r="AA57" s="49" t="s">
        <v>415</v>
      </c>
      <c r="AB57" s="49" t="s">
        <v>415</v>
      </c>
      <c r="AC57" s="49" t="s">
        <v>415</v>
      </c>
      <c r="AD57" s="49" t="s">
        <v>415</v>
      </c>
      <c r="AE57" s="49" t="s">
        <v>415</v>
      </c>
      <c r="AF57" s="49" t="s">
        <v>415</v>
      </c>
      <c r="AG57" s="49" t="s">
        <v>415</v>
      </c>
      <c r="AH57" s="49" t="s">
        <v>415</v>
      </c>
      <c r="AI57" s="49" t="s">
        <v>415</v>
      </c>
      <c r="AJ57" s="49" t="s">
        <v>415</v>
      </c>
      <c r="AK57" s="49" t="s">
        <v>415</v>
      </c>
      <c r="AL57" s="49" t="s">
        <v>415</v>
      </c>
      <c r="AM57" s="49" t="s">
        <v>415</v>
      </c>
      <c r="AN57" s="49" t="s">
        <v>415</v>
      </c>
      <c r="AO57" s="49" t="s">
        <v>415</v>
      </c>
      <c r="AP57" s="49" t="s">
        <v>415</v>
      </c>
      <c r="AQ57" s="49" t="s">
        <v>415</v>
      </c>
      <c r="AR57" s="49" t="s">
        <v>415</v>
      </c>
      <c r="AS57" s="49" t="s">
        <v>415</v>
      </c>
      <c r="AT57" s="49" t="s">
        <v>415</v>
      </c>
      <c r="AU57" s="49" t="s">
        <v>415</v>
      </c>
      <c r="AV57" s="49" t="s">
        <v>415</v>
      </c>
      <c r="AW57" s="49" t="s">
        <v>415</v>
      </c>
      <c r="AX57" s="49" t="s">
        <v>415</v>
      </c>
      <c r="AY57" s="49" t="s">
        <v>415</v>
      </c>
      <c r="AZ57" s="49" t="s">
        <v>415</v>
      </c>
      <c r="BA57" s="49" t="s">
        <v>415</v>
      </c>
      <c r="BB57" s="49" t="s">
        <v>415</v>
      </c>
      <c r="BC57" s="49" t="s">
        <v>415</v>
      </c>
      <c r="BD57" s="49" t="s">
        <v>415</v>
      </c>
      <c r="BE57" s="49" t="s">
        <v>415</v>
      </c>
      <c r="BF57" s="49" t="s">
        <v>415</v>
      </c>
    </row>
    <row r="58" spans="1:58" s="51" customFormat="1" x14ac:dyDescent="0.25">
      <c r="A58" s="403"/>
      <c r="B58" s="50">
        <v>4</v>
      </c>
      <c r="T58" s="51" t="s">
        <v>415</v>
      </c>
      <c r="U58" s="51" t="s">
        <v>415</v>
      </c>
      <c r="V58" s="51" t="s">
        <v>415</v>
      </c>
      <c r="W58" s="51" t="s">
        <v>415</v>
      </c>
      <c r="X58" s="51" t="s">
        <v>415</v>
      </c>
      <c r="Y58" s="51" t="s">
        <v>415</v>
      </c>
      <c r="Z58" s="51" t="s">
        <v>415</v>
      </c>
      <c r="AA58" s="51" t="s">
        <v>415</v>
      </c>
      <c r="AB58" s="51" t="s">
        <v>415</v>
      </c>
      <c r="AC58" s="51" t="s">
        <v>415</v>
      </c>
      <c r="AD58" s="51" t="s">
        <v>415</v>
      </c>
      <c r="AE58" s="51" t="s">
        <v>415</v>
      </c>
      <c r="AF58" s="51" t="s">
        <v>415</v>
      </c>
      <c r="AG58" s="51" t="s">
        <v>415</v>
      </c>
      <c r="AH58" s="51" t="s">
        <v>415</v>
      </c>
      <c r="AI58" s="51" t="s">
        <v>415</v>
      </c>
      <c r="AJ58" s="51" t="s">
        <v>415</v>
      </c>
      <c r="AK58" s="51" t="s">
        <v>415</v>
      </c>
      <c r="AL58" s="51" t="s">
        <v>415</v>
      </c>
      <c r="AM58" s="51" t="s">
        <v>415</v>
      </c>
      <c r="AN58" s="51" t="s">
        <v>415</v>
      </c>
      <c r="AO58" s="51" t="s">
        <v>415</v>
      </c>
      <c r="AP58" s="51" t="s">
        <v>415</v>
      </c>
      <c r="AQ58" s="51" t="s">
        <v>415</v>
      </c>
      <c r="AR58" s="51" t="s">
        <v>415</v>
      </c>
      <c r="AS58" s="51" t="s">
        <v>415</v>
      </c>
      <c r="AT58" s="51" t="s">
        <v>415</v>
      </c>
      <c r="AU58" s="51" t="s">
        <v>415</v>
      </c>
      <c r="AV58" s="51" t="s">
        <v>415</v>
      </c>
      <c r="AW58" s="51" t="s">
        <v>415</v>
      </c>
      <c r="AX58" s="51" t="s">
        <v>415</v>
      </c>
      <c r="AY58" s="51" t="s">
        <v>415</v>
      </c>
      <c r="AZ58" s="51" t="s">
        <v>415</v>
      </c>
      <c r="BA58" s="51" t="s">
        <v>415</v>
      </c>
      <c r="BB58" s="51" t="s">
        <v>415</v>
      </c>
      <c r="BC58" s="51" t="s">
        <v>415</v>
      </c>
      <c r="BD58" s="51" t="s">
        <v>415</v>
      </c>
      <c r="BE58" s="51" t="s">
        <v>415</v>
      </c>
      <c r="BF58" s="51" t="s">
        <v>415</v>
      </c>
    </row>
    <row r="59" spans="1:58" s="49" customFormat="1" x14ac:dyDescent="0.25">
      <c r="A59" s="403"/>
      <c r="B59" s="48">
        <v>5</v>
      </c>
      <c r="T59" s="49" t="s">
        <v>415</v>
      </c>
      <c r="U59" s="49" t="s">
        <v>415</v>
      </c>
      <c r="V59" s="49" t="s">
        <v>415</v>
      </c>
      <c r="W59" s="49" t="s">
        <v>415</v>
      </c>
      <c r="X59" s="49" t="s">
        <v>415</v>
      </c>
      <c r="Y59" s="49" t="s">
        <v>415</v>
      </c>
      <c r="Z59" s="49" t="s">
        <v>415</v>
      </c>
      <c r="AA59" s="49" t="s">
        <v>415</v>
      </c>
      <c r="AB59" s="49" t="s">
        <v>415</v>
      </c>
      <c r="AC59" s="49" t="s">
        <v>415</v>
      </c>
      <c r="AD59" s="49" t="s">
        <v>415</v>
      </c>
      <c r="AE59" s="49" t="s">
        <v>415</v>
      </c>
      <c r="AF59" s="49" t="s">
        <v>415</v>
      </c>
      <c r="AG59" s="49" t="s">
        <v>415</v>
      </c>
      <c r="AH59" s="49" t="s">
        <v>415</v>
      </c>
      <c r="AI59" s="49" t="s">
        <v>415</v>
      </c>
      <c r="AJ59" s="49" t="s">
        <v>415</v>
      </c>
      <c r="AK59" s="49" t="s">
        <v>415</v>
      </c>
      <c r="AL59" s="49" t="s">
        <v>415</v>
      </c>
      <c r="AM59" s="49" t="s">
        <v>415</v>
      </c>
      <c r="AN59" s="49" t="s">
        <v>415</v>
      </c>
      <c r="AO59" s="49" t="s">
        <v>415</v>
      </c>
      <c r="AP59" s="49" t="s">
        <v>415</v>
      </c>
      <c r="AQ59" s="49" t="s">
        <v>415</v>
      </c>
      <c r="AR59" s="49" t="s">
        <v>415</v>
      </c>
      <c r="AS59" s="49" t="s">
        <v>415</v>
      </c>
      <c r="AT59" s="49" t="s">
        <v>415</v>
      </c>
      <c r="AU59" s="49" t="s">
        <v>415</v>
      </c>
      <c r="AV59" s="49" t="s">
        <v>415</v>
      </c>
      <c r="AW59" s="49" t="s">
        <v>415</v>
      </c>
      <c r="AX59" s="49" t="s">
        <v>415</v>
      </c>
      <c r="AY59" s="49" t="s">
        <v>415</v>
      </c>
      <c r="AZ59" s="49" t="s">
        <v>415</v>
      </c>
      <c r="BA59" s="49" t="s">
        <v>415</v>
      </c>
      <c r="BB59" s="49" t="s">
        <v>415</v>
      </c>
      <c r="BC59" s="49" t="s">
        <v>415</v>
      </c>
      <c r="BD59" s="49" t="s">
        <v>415</v>
      </c>
      <c r="BE59" s="49" t="s">
        <v>415</v>
      </c>
      <c r="BF59" s="49" t="s">
        <v>415</v>
      </c>
    </row>
  </sheetData>
  <mergeCells count="7">
    <mergeCell ref="A55:A59"/>
    <mergeCell ref="A15:A31"/>
    <mergeCell ref="A33:A36"/>
    <mergeCell ref="A37:A40"/>
    <mergeCell ref="A41:A44"/>
    <mergeCell ref="A45:A48"/>
    <mergeCell ref="A50:A54"/>
  </mergeCells>
  <conditionalFormatting sqref="C33:BF49">
    <cfRule type="cellIs" dxfId="7" priority="6" operator="equal">
      <formula>3</formula>
    </cfRule>
    <cfRule type="cellIs" dxfId="6" priority="7" operator="equal">
      <formula>2</formula>
    </cfRule>
    <cfRule type="cellIs" dxfId="5" priority="8" operator="equal">
      <formula>1</formula>
    </cfRule>
  </conditionalFormatting>
  <conditionalFormatting sqref="A15:XFD49">
    <cfRule type="cellIs" dxfId="4" priority="5" operator="equal">
      <formula>0</formula>
    </cfRule>
  </conditionalFormatting>
  <conditionalFormatting sqref="C7:BF7">
    <cfRule type="cellIs" dxfId="3" priority="3" operator="equal">
      <formula>FALSE</formula>
    </cfRule>
    <cfRule type="cellIs" dxfId="2" priority="4" operator="equal">
      <formula>TRUE</formula>
    </cfRule>
  </conditionalFormatting>
  <conditionalFormatting sqref="C8:BF14">
    <cfRule type="cellIs" dxfId="1" priority="1" operator="equal">
      <formula>"erledigt"</formula>
    </cfRule>
    <cfRule type="cellIs" dxfId="0" priority="2" operator="equal">
      <formula>"geplant"</formula>
    </cfRule>
  </conditionalFormatting>
  <dataValidations count="1">
    <dataValidation type="list" allowBlank="1" showInputMessage="1" showErrorMessage="1" sqref="C14:BF14 C8:BF8">
      <formula1>"geplant,erledigt"</formula1>
    </dataValidation>
  </dataValidation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K19"/>
  <sheetViews>
    <sheetView workbookViewId="0">
      <selection activeCell="G29" sqref="G29"/>
    </sheetView>
  </sheetViews>
  <sheetFormatPr baseColWidth="10" defaultRowHeight="15" x14ac:dyDescent="0.25"/>
  <cols>
    <col min="1" max="1" width="35.42578125" bestFit="1" customWidth="1"/>
    <col min="2" max="4" width="15.7109375" style="175" customWidth="1"/>
    <col min="5" max="11" width="15.7109375" customWidth="1"/>
  </cols>
  <sheetData>
    <row r="1" spans="1:11" x14ac:dyDescent="0.25">
      <c r="A1" s="181"/>
      <c r="B1" s="182" t="s">
        <v>650</v>
      </c>
      <c r="C1" s="182" t="s">
        <v>644</v>
      </c>
      <c r="D1" s="182" t="s">
        <v>645</v>
      </c>
      <c r="E1" s="182" t="s">
        <v>473</v>
      </c>
      <c r="F1" s="182" t="s">
        <v>644</v>
      </c>
      <c r="G1" s="182" t="s">
        <v>646</v>
      </c>
      <c r="H1" s="182" t="s">
        <v>647</v>
      </c>
      <c r="I1" s="182" t="s">
        <v>644</v>
      </c>
      <c r="J1" s="182" t="s">
        <v>648</v>
      </c>
      <c r="K1" s="183" t="s">
        <v>454</v>
      </c>
    </row>
    <row r="2" spans="1:11" x14ac:dyDescent="0.25">
      <c r="A2" s="183" t="s">
        <v>242</v>
      </c>
      <c r="B2" s="151">
        <v>120000</v>
      </c>
      <c r="C2" s="151">
        <v>2000</v>
      </c>
      <c r="D2" s="151">
        <v>60000</v>
      </c>
      <c r="E2" s="180">
        <f>'Resource Management'!L46</f>
        <v>469.62</v>
      </c>
      <c r="F2" s="180">
        <f>'Resource Management'!J46</f>
        <v>0</v>
      </c>
      <c r="G2" s="180">
        <f>'Resource Management'!K46</f>
        <v>0</v>
      </c>
      <c r="H2" s="151">
        <f>E2*B2</f>
        <v>56354400</v>
      </c>
      <c r="I2" s="151">
        <f>C2*F2</f>
        <v>0</v>
      </c>
      <c r="J2" s="151">
        <f>D2*G2</f>
        <v>0</v>
      </c>
      <c r="K2" s="151">
        <f>I2+J2</f>
        <v>0</v>
      </c>
    </row>
    <row r="3" spans="1:11" x14ac:dyDescent="0.25">
      <c r="A3" s="183" t="s">
        <v>243</v>
      </c>
      <c r="B3" s="151">
        <v>77500</v>
      </c>
      <c r="C3" s="151">
        <v>2000</v>
      </c>
      <c r="D3" s="151">
        <v>60000</v>
      </c>
      <c r="E3" s="180">
        <f>'Resource Management'!L47</f>
        <v>414.6</v>
      </c>
      <c r="F3" s="180">
        <f>'Resource Management'!J47</f>
        <v>0</v>
      </c>
      <c r="G3" s="180">
        <f>'Resource Management'!K47</f>
        <v>0</v>
      </c>
      <c r="H3" s="151">
        <f t="shared" ref="H3:H14" si="0">E3*B3</f>
        <v>32131500</v>
      </c>
      <c r="I3" s="151">
        <f t="shared" ref="I3:I14" si="1">C3*F3</f>
        <v>0</v>
      </c>
      <c r="J3" s="151">
        <f t="shared" ref="J3:J14" si="2">D3*G3</f>
        <v>0</v>
      </c>
      <c r="K3" s="151">
        <f t="shared" ref="K3:K14" si="3">I3+J3</f>
        <v>0</v>
      </c>
    </row>
    <row r="4" spans="1:11" x14ac:dyDescent="0.25">
      <c r="A4" s="183" t="s">
        <v>244</v>
      </c>
      <c r="B4" s="151">
        <v>77500</v>
      </c>
      <c r="C4" s="151">
        <v>1000</v>
      </c>
      <c r="D4" s="151">
        <v>38750</v>
      </c>
      <c r="E4" s="180">
        <f>'Resource Management'!L48</f>
        <v>18.87</v>
      </c>
      <c r="F4" s="180">
        <f>'Resource Management'!J48</f>
        <v>0</v>
      </c>
      <c r="G4" s="180">
        <f>'Resource Management'!K48</f>
        <v>0</v>
      </c>
      <c r="H4" s="151">
        <f t="shared" si="0"/>
        <v>1462425</v>
      </c>
      <c r="I4" s="151">
        <f t="shared" si="1"/>
        <v>0</v>
      </c>
      <c r="J4" s="151">
        <f t="shared" si="2"/>
        <v>0</v>
      </c>
      <c r="K4" s="151">
        <f t="shared" si="3"/>
        <v>0</v>
      </c>
    </row>
    <row r="5" spans="1:11" x14ac:dyDescent="0.25">
      <c r="A5" s="183" t="s">
        <v>245</v>
      </c>
      <c r="B5" s="151">
        <v>77500</v>
      </c>
      <c r="C5" s="151">
        <v>1000</v>
      </c>
      <c r="D5" s="151">
        <v>38750</v>
      </c>
      <c r="E5" s="180">
        <f>'Resource Management'!L49</f>
        <v>43.32</v>
      </c>
      <c r="F5" s="180">
        <f>'Resource Management'!J49</f>
        <v>0</v>
      </c>
      <c r="G5" s="180">
        <f>'Resource Management'!K49</f>
        <v>0</v>
      </c>
      <c r="H5" s="151">
        <f t="shared" si="0"/>
        <v>3357300</v>
      </c>
      <c r="I5" s="151">
        <f t="shared" si="1"/>
        <v>0</v>
      </c>
      <c r="J5" s="151">
        <f t="shared" si="2"/>
        <v>0</v>
      </c>
      <c r="K5" s="151">
        <f t="shared" si="3"/>
        <v>0</v>
      </c>
    </row>
    <row r="6" spans="1:11" x14ac:dyDescent="0.25">
      <c r="A6" s="183" t="s">
        <v>246</v>
      </c>
      <c r="B6" s="151">
        <v>50000</v>
      </c>
      <c r="C6" s="151">
        <v>500</v>
      </c>
      <c r="D6" s="151">
        <v>25000</v>
      </c>
      <c r="E6" s="180">
        <f>'Resource Management'!L50</f>
        <v>241.13</v>
      </c>
      <c r="F6" s="180">
        <f>'Resource Management'!J50</f>
        <v>0</v>
      </c>
      <c r="G6" s="180">
        <f>'Resource Management'!K50</f>
        <v>0</v>
      </c>
      <c r="H6" s="151">
        <f t="shared" si="0"/>
        <v>12056500</v>
      </c>
      <c r="I6" s="151">
        <f t="shared" si="1"/>
        <v>0</v>
      </c>
      <c r="J6" s="151">
        <f t="shared" si="2"/>
        <v>0</v>
      </c>
      <c r="K6" s="151">
        <f t="shared" si="3"/>
        <v>0</v>
      </c>
    </row>
    <row r="7" spans="1:11" x14ac:dyDescent="0.25">
      <c r="A7" s="183" t="s">
        <v>247</v>
      </c>
      <c r="B7" s="151">
        <v>50000</v>
      </c>
      <c r="C7" s="151">
        <v>500</v>
      </c>
      <c r="D7" s="151">
        <v>25000</v>
      </c>
      <c r="E7" s="180">
        <f>'Resource Management'!L51</f>
        <v>208.12</v>
      </c>
      <c r="F7" s="180">
        <f>'Resource Management'!J51</f>
        <v>0</v>
      </c>
      <c r="G7" s="180">
        <f>'Resource Management'!K51</f>
        <v>0</v>
      </c>
      <c r="H7" s="151">
        <f t="shared" si="0"/>
        <v>10406000</v>
      </c>
      <c r="I7" s="151">
        <f t="shared" si="1"/>
        <v>0</v>
      </c>
      <c r="J7" s="151">
        <f t="shared" si="2"/>
        <v>0</v>
      </c>
      <c r="K7" s="151">
        <f t="shared" si="3"/>
        <v>0</v>
      </c>
    </row>
    <row r="8" spans="1:11" x14ac:dyDescent="0.25">
      <c r="A8" s="183" t="s">
        <v>248</v>
      </c>
      <c r="B8" s="151">
        <v>50000</v>
      </c>
      <c r="C8" s="151">
        <v>500</v>
      </c>
      <c r="D8" s="151">
        <v>25000</v>
      </c>
      <c r="E8" s="180">
        <f>'Resource Management'!L52</f>
        <v>468.29</v>
      </c>
      <c r="F8" s="180">
        <f>'Resource Management'!J52</f>
        <v>0</v>
      </c>
      <c r="G8" s="180">
        <f>'Resource Management'!K52</f>
        <v>0</v>
      </c>
      <c r="H8" s="151">
        <f t="shared" si="0"/>
        <v>23414500</v>
      </c>
      <c r="I8" s="151">
        <f t="shared" si="1"/>
        <v>0</v>
      </c>
      <c r="J8" s="151">
        <f t="shared" si="2"/>
        <v>0</v>
      </c>
      <c r="K8" s="151">
        <f t="shared" si="3"/>
        <v>0</v>
      </c>
    </row>
    <row r="9" spans="1:11" x14ac:dyDescent="0.25">
      <c r="A9" s="183" t="s">
        <v>249</v>
      </c>
      <c r="B9" s="151">
        <v>50000</v>
      </c>
      <c r="C9" s="151">
        <v>500</v>
      </c>
      <c r="D9" s="151">
        <v>25000</v>
      </c>
      <c r="E9" s="180">
        <f>'Resource Management'!L53</f>
        <v>1463.15</v>
      </c>
      <c r="F9" s="180">
        <f>'Resource Management'!J53</f>
        <v>0</v>
      </c>
      <c r="G9" s="180">
        <f>'Resource Management'!K53</f>
        <v>0</v>
      </c>
      <c r="H9" s="151">
        <f t="shared" si="0"/>
        <v>73157500</v>
      </c>
      <c r="I9" s="151">
        <f t="shared" si="1"/>
        <v>0</v>
      </c>
      <c r="J9" s="151">
        <f t="shared" si="2"/>
        <v>0</v>
      </c>
      <c r="K9" s="151">
        <f t="shared" si="3"/>
        <v>0</v>
      </c>
    </row>
    <row r="10" spans="1:11" x14ac:dyDescent="0.25">
      <c r="A10" s="183" t="s">
        <v>250</v>
      </c>
      <c r="B10" s="151">
        <v>50000</v>
      </c>
      <c r="C10" s="151">
        <v>500</v>
      </c>
      <c r="D10" s="151">
        <v>25000</v>
      </c>
      <c r="E10" s="180">
        <f>'Resource Management'!L54</f>
        <v>1243.83</v>
      </c>
      <c r="F10" s="180">
        <f>'Resource Management'!J54</f>
        <v>0</v>
      </c>
      <c r="G10" s="180">
        <f>'Resource Management'!K54</f>
        <v>0</v>
      </c>
      <c r="H10" s="151">
        <f t="shared" si="0"/>
        <v>62191500</v>
      </c>
      <c r="I10" s="151">
        <f t="shared" si="1"/>
        <v>0</v>
      </c>
      <c r="J10" s="151">
        <f t="shared" si="2"/>
        <v>0</v>
      </c>
      <c r="K10" s="151">
        <f t="shared" si="3"/>
        <v>0</v>
      </c>
    </row>
    <row r="11" spans="1:11" x14ac:dyDescent="0.25">
      <c r="A11" s="183" t="s">
        <v>251</v>
      </c>
      <c r="B11" s="151">
        <v>50000</v>
      </c>
      <c r="C11" s="151">
        <v>500</v>
      </c>
      <c r="D11" s="151">
        <v>25000</v>
      </c>
      <c r="E11" s="180">
        <f>'Resource Management'!L55</f>
        <v>271.66000000000003</v>
      </c>
      <c r="F11" s="180">
        <f>'Resource Management'!J55</f>
        <v>0</v>
      </c>
      <c r="G11" s="180">
        <f>'Resource Management'!K55</f>
        <v>0</v>
      </c>
      <c r="H11" s="151">
        <f t="shared" si="0"/>
        <v>13583000.000000002</v>
      </c>
      <c r="I11" s="151">
        <f t="shared" si="1"/>
        <v>0</v>
      </c>
      <c r="J11" s="151">
        <f t="shared" si="2"/>
        <v>0</v>
      </c>
      <c r="K11" s="151">
        <f t="shared" si="3"/>
        <v>0</v>
      </c>
    </row>
    <row r="12" spans="1:11" x14ac:dyDescent="0.25">
      <c r="A12" s="183" t="s">
        <v>253</v>
      </c>
      <c r="B12" s="151">
        <v>780000</v>
      </c>
      <c r="C12" s="151">
        <v>0</v>
      </c>
      <c r="D12" s="151">
        <v>0</v>
      </c>
      <c r="E12" s="180">
        <f>'Resource Management'!L56</f>
        <v>0</v>
      </c>
      <c r="F12" s="180">
        <f>'Resource Management'!J56</f>
        <v>0</v>
      </c>
      <c r="G12" s="180">
        <f>'Resource Management'!K56</f>
        <v>0</v>
      </c>
      <c r="H12" s="151">
        <f t="shared" si="0"/>
        <v>0</v>
      </c>
      <c r="I12" s="151">
        <f t="shared" si="1"/>
        <v>0</v>
      </c>
      <c r="J12" s="151">
        <f t="shared" si="2"/>
        <v>0</v>
      </c>
      <c r="K12" s="151">
        <f t="shared" si="3"/>
        <v>0</v>
      </c>
    </row>
    <row r="13" spans="1:11" x14ac:dyDescent="0.25">
      <c r="A13" s="183" t="s">
        <v>255</v>
      </c>
      <c r="B13" s="151">
        <v>312000</v>
      </c>
      <c r="C13" s="151">
        <v>0</v>
      </c>
      <c r="D13" s="151">
        <v>0</v>
      </c>
      <c r="E13" s="180">
        <f>'Resource Management'!L57</f>
        <v>0</v>
      </c>
      <c r="F13" s="180">
        <f>'Resource Management'!J57</f>
        <v>0</v>
      </c>
      <c r="G13" s="180">
        <f>'Resource Management'!K57</f>
        <v>0</v>
      </c>
      <c r="H13" s="151">
        <f t="shared" si="0"/>
        <v>0</v>
      </c>
      <c r="I13" s="151">
        <f t="shared" si="1"/>
        <v>0</v>
      </c>
      <c r="J13" s="151">
        <f t="shared" si="2"/>
        <v>0</v>
      </c>
      <c r="K13" s="151">
        <f t="shared" si="3"/>
        <v>0</v>
      </c>
    </row>
    <row r="14" spans="1:11" x14ac:dyDescent="0.25">
      <c r="A14" s="183" t="s">
        <v>257</v>
      </c>
      <c r="B14" s="151">
        <v>520000</v>
      </c>
      <c r="C14" s="151">
        <v>0</v>
      </c>
      <c r="D14" s="151">
        <v>0</v>
      </c>
      <c r="E14" s="180">
        <f>'Resource Management'!L58</f>
        <v>0</v>
      </c>
      <c r="F14" s="180">
        <f>'Resource Management'!J58</f>
        <v>0</v>
      </c>
      <c r="G14" s="180">
        <f>'Resource Management'!K58</f>
        <v>0</v>
      </c>
      <c r="H14" s="151">
        <f t="shared" si="0"/>
        <v>0</v>
      </c>
      <c r="I14" s="151">
        <f t="shared" si="1"/>
        <v>0</v>
      </c>
      <c r="J14" s="151">
        <f t="shared" si="2"/>
        <v>0</v>
      </c>
      <c r="K14" s="151">
        <f t="shared" si="3"/>
        <v>0</v>
      </c>
    </row>
    <row r="15" spans="1:11" x14ac:dyDescent="0.25">
      <c r="A15" s="183" t="s">
        <v>189</v>
      </c>
      <c r="B15" s="151">
        <v>77500</v>
      </c>
      <c r="C15" s="151">
        <v>1000</v>
      </c>
      <c r="D15" s="151">
        <v>33800</v>
      </c>
      <c r="E15" s="180">
        <f>'Resource Management'!L3</f>
        <v>0</v>
      </c>
      <c r="F15" s="180">
        <f>'Resource Management'!J3</f>
        <v>0</v>
      </c>
      <c r="G15" s="180">
        <f>'Resource Management'!K3</f>
        <v>0</v>
      </c>
      <c r="H15" s="151">
        <f t="shared" ref="H15:H19" si="4">E15*B15</f>
        <v>0</v>
      </c>
      <c r="I15" s="151">
        <f t="shared" ref="I15:I19" si="5">C15*F15</f>
        <v>0</v>
      </c>
      <c r="J15" s="151">
        <f t="shared" ref="J15:J19" si="6">D15*G15</f>
        <v>0</v>
      </c>
      <c r="K15" s="151">
        <f t="shared" ref="K15:K19" si="7">I15+J15</f>
        <v>0</v>
      </c>
    </row>
    <row r="16" spans="1:11" x14ac:dyDescent="0.25">
      <c r="A16" s="183" t="s">
        <v>191</v>
      </c>
      <c r="B16" s="151">
        <v>77500</v>
      </c>
      <c r="C16" s="151">
        <v>1000</v>
      </c>
      <c r="D16" s="151">
        <v>33800</v>
      </c>
      <c r="E16" s="180">
        <f>'Resource Management'!L4</f>
        <v>9.7799999999999994</v>
      </c>
      <c r="F16" s="180">
        <f>'Resource Management'!J4</f>
        <v>0</v>
      </c>
      <c r="G16" s="180">
        <f>'Resource Management'!K4</f>
        <v>0</v>
      </c>
      <c r="H16" s="151">
        <f t="shared" si="4"/>
        <v>757950</v>
      </c>
      <c r="I16" s="151">
        <f t="shared" si="5"/>
        <v>0</v>
      </c>
      <c r="J16" s="151">
        <f t="shared" si="6"/>
        <v>0</v>
      </c>
      <c r="K16" s="151">
        <f t="shared" si="7"/>
        <v>0</v>
      </c>
    </row>
    <row r="17" spans="1:11" x14ac:dyDescent="0.25">
      <c r="A17" s="183" t="s">
        <v>192</v>
      </c>
      <c r="B17" s="151">
        <v>77500</v>
      </c>
      <c r="C17" s="151">
        <v>1000</v>
      </c>
      <c r="D17" s="151">
        <v>33800</v>
      </c>
      <c r="E17" s="180">
        <f>'Resource Management'!L5</f>
        <v>0.57999999999999996</v>
      </c>
      <c r="F17" s="180">
        <f>'Resource Management'!J5</f>
        <v>0</v>
      </c>
      <c r="G17" s="180">
        <f>'Resource Management'!K5</f>
        <v>0</v>
      </c>
      <c r="H17" s="151">
        <f t="shared" si="4"/>
        <v>44950</v>
      </c>
      <c r="I17" s="151">
        <f t="shared" si="5"/>
        <v>0</v>
      </c>
      <c r="J17" s="151">
        <f t="shared" si="6"/>
        <v>0</v>
      </c>
      <c r="K17" s="151">
        <f t="shared" si="7"/>
        <v>0</v>
      </c>
    </row>
    <row r="18" spans="1:11" x14ac:dyDescent="0.25">
      <c r="A18" s="183" t="s">
        <v>193</v>
      </c>
      <c r="B18" s="151">
        <v>77500</v>
      </c>
      <c r="C18" s="151">
        <v>1000</v>
      </c>
      <c r="D18" s="151">
        <v>33800</v>
      </c>
      <c r="E18" s="180">
        <f>'Resource Management'!L6</f>
        <v>20.41</v>
      </c>
      <c r="F18" s="180">
        <f>'Resource Management'!J6</f>
        <v>0</v>
      </c>
      <c r="G18" s="180">
        <f>'Resource Management'!K6</f>
        <v>0</v>
      </c>
      <c r="H18" s="151">
        <f t="shared" si="4"/>
        <v>1581775</v>
      </c>
      <c r="I18" s="151">
        <f t="shared" si="5"/>
        <v>0</v>
      </c>
      <c r="J18" s="151">
        <f t="shared" si="6"/>
        <v>0</v>
      </c>
      <c r="K18" s="151">
        <f t="shared" si="7"/>
        <v>0</v>
      </c>
    </row>
    <row r="19" spans="1:11" x14ac:dyDescent="0.25">
      <c r="A19" s="183" t="s">
        <v>194</v>
      </c>
      <c r="B19" s="151">
        <v>77500</v>
      </c>
      <c r="C19" s="151">
        <v>1000</v>
      </c>
      <c r="D19" s="151">
        <v>33800</v>
      </c>
      <c r="E19" s="180">
        <f>'Resource Management'!L7</f>
        <v>39.61</v>
      </c>
      <c r="F19" s="180">
        <f>'Resource Management'!J7</f>
        <v>0</v>
      </c>
      <c r="G19" s="180">
        <f>'Resource Management'!K7</f>
        <v>0</v>
      </c>
      <c r="H19" s="151">
        <f t="shared" si="4"/>
        <v>3069775</v>
      </c>
      <c r="I19" s="151">
        <f t="shared" si="5"/>
        <v>0</v>
      </c>
      <c r="J19" s="151">
        <f t="shared" si="6"/>
        <v>0</v>
      </c>
      <c r="K19" s="151">
        <f t="shared" si="7"/>
        <v>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_ProjekteHilfe"/>
  <dimension ref="A1:BE70"/>
  <sheetViews>
    <sheetView workbookViewId="0">
      <pane xSplit="1" ySplit="1" topLeftCell="B2" activePane="bottomRight" state="frozen"/>
      <selection activeCell="H4" sqref="H4"/>
      <selection pane="topRight" activeCell="H4" sqref="H4"/>
      <selection pane="bottomLeft" activeCell="H4" sqref="H4"/>
      <selection pane="bottomRight" activeCell="N2" sqref="N2"/>
    </sheetView>
  </sheetViews>
  <sheetFormatPr baseColWidth="10" defaultColWidth="15" defaultRowHeight="15" x14ac:dyDescent="0.25"/>
  <cols>
    <col min="1" max="1" width="20" style="159" bestFit="1" customWidth="1"/>
    <col min="2" max="16384" width="15" style="27"/>
  </cols>
  <sheetData>
    <row r="1" spans="1:57" s="161" customFormat="1" x14ac:dyDescent="0.25">
      <c r="A1" s="15" t="s">
        <v>381</v>
      </c>
      <c r="B1" s="15" t="s">
        <v>268</v>
      </c>
      <c r="C1" s="15" t="s">
        <v>270</v>
      </c>
      <c r="D1" s="15" t="s">
        <v>272</v>
      </c>
      <c r="E1" s="15" t="s">
        <v>274</v>
      </c>
      <c r="F1" s="15" t="s">
        <v>276</v>
      </c>
      <c r="G1" s="15" t="s">
        <v>278</v>
      </c>
      <c r="H1" s="15" t="s">
        <v>280</v>
      </c>
      <c r="I1" s="15" t="s">
        <v>282</v>
      </c>
      <c r="J1" s="15" t="s">
        <v>284</v>
      </c>
      <c r="K1" s="15" t="s">
        <v>286</v>
      </c>
      <c r="L1" s="15" t="s">
        <v>288</v>
      </c>
      <c r="M1" s="15" t="s">
        <v>290</v>
      </c>
      <c r="N1" s="15" t="s">
        <v>292</v>
      </c>
      <c r="O1" s="15" t="s">
        <v>294</v>
      </c>
      <c r="P1" s="15" t="s">
        <v>296</v>
      </c>
      <c r="Q1" s="15" t="s">
        <v>298</v>
      </c>
      <c r="R1" s="15" t="s">
        <v>300</v>
      </c>
      <c r="S1" s="15" t="s">
        <v>302</v>
      </c>
      <c r="T1" s="15" t="s">
        <v>304</v>
      </c>
      <c r="U1" s="15" t="s">
        <v>306</v>
      </c>
      <c r="V1" s="15" t="s">
        <v>309</v>
      </c>
      <c r="W1" s="15" t="s">
        <v>311</v>
      </c>
      <c r="X1" s="15" t="s">
        <v>313</v>
      </c>
      <c r="Y1" s="15" t="s">
        <v>315</v>
      </c>
      <c r="Z1" s="15" t="s">
        <v>317</v>
      </c>
      <c r="AA1" s="15" t="s">
        <v>319</v>
      </c>
      <c r="AB1" s="15" t="s">
        <v>321</v>
      </c>
      <c r="AC1" s="15" t="s">
        <v>323</v>
      </c>
      <c r="AD1" s="15" t="s">
        <v>325</v>
      </c>
      <c r="AE1" s="15" t="s">
        <v>327</v>
      </c>
      <c r="AF1" s="15" t="s">
        <v>329</v>
      </c>
      <c r="AG1" s="15" t="s">
        <v>331</v>
      </c>
      <c r="AH1" s="15" t="s">
        <v>333</v>
      </c>
      <c r="AI1" s="15" t="s">
        <v>335</v>
      </c>
      <c r="AJ1" s="15" t="s">
        <v>337</v>
      </c>
      <c r="AK1" s="15" t="s">
        <v>339</v>
      </c>
      <c r="AL1" s="15" t="s">
        <v>341</v>
      </c>
      <c r="AM1" s="15" t="s">
        <v>343</v>
      </c>
      <c r="AN1" s="15" t="s">
        <v>345</v>
      </c>
      <c r="AO1" s="15" t="s">
        <v>347</v>
      </c>
      <c r="AP1" s="15" t="s">
        <v>349</v>
      </c>
      <c r="AQ1" s="15" t="s">
        <v>351</v>
      </c>
      <c r="AR1" s="15" t="s">
        <v>353</v>
      </c>
      <c r="AS1" s="15" t="s">
        <v>355</v>
      </c>
      <c r="AT1" s="15" t="s">
        <v>357</v>
      </c>
      <c r="AU1" s="15" t="s">
        <v>359</v>
      </c>
      <c r="AV1" s="15" t="s">
        <v>361</v>
      </c>
      <c r="AW1" s="15" t="s">
        <v>363</v>
      </c>
      <c r="AX1" s="15" t="s">
        <v>365</v>
      </c>
      <c r="AY1" s="15" t="s">
        <v>367</v>
      </c>
      <c r="AZ1" s="15" t="s">
        <v>369</v>
      </c>
      <c r="BA1" s="15" t="s">
        <v>371</v>
      </c>
      <c r="BB1" s="15" t="s">
        <v>373</v>
      </c>
      <c r="BC1" s="15" t="s">
        <v>375</v>
      </c>
      <c r="BD1" s="15" t="s">
        <v>377</v>
      </c>
      <c r="BE1" s="15" t="s">
        <v>379</v>
      </c>
    </row>
    <row r="2" spans="1:57" x14ac:dyDescent="0.25">
      <c r="A2" s="159" t="s">
        <v>443</v>
      </c>
      <c r="B2" s="27" t="s">
        <v>270</v>
      </c>
      <c r="D2" s="27" t="s">
        <v>270</v>
      </c>
      <c r="G2" s="27" t="s">
        <v>325</v>
      </c>
      <c r="L2" s="27" t="s">
        <v>290</v>
      </c>
      <c r="N2" s="27" t="s">
        <v>331</v>
      </c>
      <c r="O2" s="27" t="s">
        <v>278</v>
      </c>
      <c r="P2" s="27" t="s">
        <v>278</v>
      </c>
      <c r="Q2" s="27" t="s">
        <v>302</v>
      </c>
      <c r="S2" s="27" t="s">
        <v>325</v>
      </c>
      <c r="V2" s="27" t="s">
        <v>315</v>
      </c>
      <c r="Y2" s="27" t="s">
        <v>270</v>
      </c>
      <c r="Z2" s="27" t="s">
        <v>361</v>
      </c>
      <c r="AC2" s="27" t="s">
        <v>272</v>
      </c>
      <c r="AD2" s="27" t="s">
        <v>282</v>
      </c>
      <c r="AE2" s="27" t="s">
        <v>355</v>
      </c>
      <c r="AG2" s="27" t="s">
        <v>325</v>
      </c>
      <c r="AH2" s="27" t="s">
        <v>373</v>
      </c>
      <c r="AJ2" s="27" t="s">
        <v>325</v>
      </c>
      <c r="AL2" s="27" t="s">
        <v>339</v>
      </c>
      <c r="AM2" s="27" t="s">
        <v>341</v>
      </c>
      <c r="AO2" s="27" t="s">
        <v>270</v>
      </c>
      <c r="AR2" s="27" t="s">
        <v>355</v>
      </c>
      <c r="AS2" s="27" t="s">
        <v>349</v>
      </c>
      <c r="AT2" s="27" t="s">
        <v>272</v>
      </c>
      <c r="AU2" s="27" t="s">
        <v>317</v>
      </c>
      <c r="AV2" s="27" t="s">
        <v>325</v>
      </c>
      <c r="AX2" s="27" t="s">
        <v>367</v>
      </c>
      <c r="AY2" s="27" t="s">
        <v>369</v>
      </c>
      <c r="BB2" s="27" t="s">
        <v>270</v>
      </c>
      <c r="BE2" s="27" t="s">
        <v>343</v>
      </c>
    </row>
    <row r="3" spans="1:57" x14ac:dyDescent="0.25">
      <c r="A3" s="159" t="s">
        <v>444</v>
      </c>
      <c r="B3" s="27" t="s">
        <v>274</v>
      </c>
      <c r="D3" s="27" t="s">
        <v>311</v>
      </c>
      <c r="L3" s="27" t="s">
        <v>345</v>
      </c>
      <c r="Q3" s="27" t="s">
        <v>276</v>
      </c>
      <c r="Y3" s="27" t="s">
        <v>311</v>
      </c>
      <c r="AD3" s="27" t="s">
        <v>284</v>
      </c>
      <c r="AG3" s="27" t="s">
        <v>351</v>
      </c>
      <c r="AJ3" s="27" t="s">
        <v>327</v>
      </c>
      <c r="AO3" s="27" t="s">
        <v>353</v>
      </c>
      <c r="AV3" s="27" t="s">
        <v>363</v>
      </c>
      <c r="BB3" s="27" t="s">
        <v>311</v>
      </c>
    </row>
    <row r="4" spans="1:57" x14ac:dyDescent="0.25">
      <c r="A4" s="159" t="s">
        <v>445</v>
      </c>
      <c r="B4" s="27" t="b">
        <f>IF(IFERROR(HLOOKUP(B$2,Projekte!$1:$8,8,FALSE),"erledigt")="erledigt"=TRUE,TRUE,FALSE)</f>
        <v>1</v>
      </c>
      <c r="C4" s="27" t="b">
        <f>IF(IFERROR(HLOOKUP(C$2,Projekte!$1:$8,8,FALSE),"erledigt")="erledigt"=TRUE,TRUE,FALSE)</f>
        <v>1</v>
      </c>
      <c r="D4" s="27" t="b">
        <f>IF(IFERROR(HLOOKUP(D$2,Projekte!$1:$8,8,FALSE),"erledigt")="erledigt"=TRUE,TRUE,FALSE)</f>
        <v>1</v>
      </c>
      <c r="E4" s="27" t="b">
        <f>IF(IFERROR(HLOOKUP(E$2,Projekte!$1:$8,8,FALSE),"erledigt")="erledigt"=TRUE,TRUE,FALSE)</f>
        <v>1</v>
      </c>
      <c r="F4" s="27" t="b">
        <f>IF(IFERROR(HLOOKUP(F$2,Projekte!$1:$8,8,FALSE),"erledigt")="erledigt"=TRUE,TRUE,FALSE)</f>
        <v>1</v>
      </c>
      <c r="G4" s="27" t="b">
        <f>IF(IFERROR(HLOOKUP(G$2,Projekte!$1:$8,8,FALSE),"erledigt")="erledigt"=TRUE,TRUE,FALSE)</f>
        <v>1</v>
      </c>
      <c r="H4" s="27" t="b">
        <f>IF(IFERROR(HLOOKUP(H$2,Projekte!$1:$8,8,FALSE),"erledigt")="erledigt"=TRUE,TRUE,FALSE)</f>
        <v>1</v>
      </c>
      <c r="I4" s="27" t="b">
        <f>IF(IFERROR(HLOOKUP(I$2,Projekte!$1:$8,8,FALSE),"erledigt")="erledigt"=TRUE,TRUE,FALSE)</f>
        <v>1</v>
      </c>
      <c r="J4" s="27" t="b">
        <f>IF(IFERROR(HLOOKUP(J$2,Projekte!$1:$8,8,FALSE),"erledigt")="erledigt"=TRUE,TRUE,FALSE)</f>
        <v>1</v>
      </c>
      <c r="K4" s="27" t="b">
        <f>IF(IFERROR(HLOOKUP(K$2,Projekte!$1:$8,8,FALSE),"erledigt")="erledigt"=TRUE,TRUE,FALSE)</f>
        <v>1</v>
      </c>
      <c r="L4" s="27" t="b">
        <f>IF(IFERROR(HLOOKUP(L$2,Projekte!$1:$8,8,FALSE),"erledigt")="erledigt"=TRUE,TRUE,FALSE)</f>
        <v>1</v>
      </c>
      <c r="M4" s="27" t="b">
        <f>IF(IFERROR(HLOOKUP(M$2,Projekte!$1:$8,8,FALSE),"erledigt")="erledigt"=TRUE,TRUE,FALSE)</f>
        <v>1</v>
      </c>
      <c r="N4" s="27" t="b">
        <f>IF(IFERROR(HLOOKUP(N$2,Projekte!$1:$8,8,FALSE),"erledigt")="erledigt"=TRUE,TRUE,FALSE)</f>
        <v>1</v>
      </c>
      <c r="O4" s="27" t="b">
        <f>IF(IFERROR(HLOOKUP(O$2,Projekte!$1:$8,8,FALSE),"erledigt")="erledigt"=TRUE,TRUE,FALSE)</f>
        <v>1</v>
      </c>
      <c r="P4" s="27" t="b">
        <f>IF(IFERROR(HLOOKUP(P$2,Projekte!$1:$8,8,FALSE),"erledigt")="erledigt"=TRUE,TRUE,FALSE)</f>
        <v>1</v>
      </c>
      <c r="Q4" s="27" t="b">
        <f>IF(IFERROR(HLOOKUP(Q$2,Projekte!$1:$8,8,FALSE),"erledigt")="erledigt"=TRUE,TRUE,FALSE)</f>
        <v>1</v>
      </c>
      <c r="R4" s="27" t="b">
        <f>IF(IFERROR(HLOOKUP(R$2,Projekte!$1:$8,8,FALSE),"erledigt")="erledigt"=TRUE,TRUE,FALSE)</f>
        <v>1</v>
      </c>
      <c r="S4" s="27" t="b">
        <f>IF(IFERROR(HLOOKUP(S$2,Projekte!$1:$8,8,FALSE),"erledigt")="erledigt"=TRUE,TRUE,FALSE)</f>
        <v>1</v>
      </c>
      <c r="T4" s="27" t="b">
        <f>IF(IFERROR(HLOOKUP(T$2,Projekte!$1:$8,8,FALSE),"erledigt")="erledigt"=TRUE,TRUE,FALSE)</f>
        <v>1</v>
      </c>
      <c r="U4" s="27" t="b">
        <f>IF(IFERROR(HLOOKUP(U$2,Projekte!$1:$8,8,FALSE),"erledigt")="erledigt"=TRUE,TRUE,FALSE)</f>
        <v>1</v>
      </c>
      <c r="V4" s="27" t="b">
        <f>IF(IFERROR(HLOOKUP(V$2,Projekte!$1:$8,8,FALSE),"erledigt")="erledigt"=TRUE,TRUE,FALSE)</f>
        <v>1</v>
      </c>
      <c r="W4" s="27" t="b">
        <f>IF(IFERROR(HLOOKUP(W$2,Projekte!$1:$8,8,FALSE),"erledigt")="erledigt"=TRUE,TRUE,FALSE)</f>
        <v>1</v>
      </c>
      <c r="X4" s="27" t="b">
        <f>IF(IFERROR(HLOOKUP(X$2,Projekte!$1:$8,8,FALSE),"erledigt")="erledigt"=TRUE,TRUE,FALSE)</f>
        <v>1</v>
      </c>
      <c r="Y4" s="27" t="b">
        <f>IF(IFERROR(HLOOKUP(Y$2,Projekte!$1:$8,8,FALSE),"erledigt")="erledigt"=TRUE,TRUE,FALSE)</f>
        <v>1</v>
      </c>
      <c r="Z4" s="27" t="b">
        <f>IF(IFERROR(HLOOKUP(Z$2,Projekte!$1:$8,8,FALSE),"erledigt")="erledigt"=TRUE,TRUE,FALSE)</f>
        <v>1</v>
      </c>
      <c r="AA4" s="27" t="b">
        <f>IF(IFERROR(HLOOKUP(AA$2,Projekte!$1:$8,8,FALSE),"erledigt")="erledigt"=TRUE,TRUE,FALSE)</f>
        <v>1</v>
      </c>
      <c r="AB4" s="27" t="b">
        <f>IF(IFERROR(HLOOKUP(AB$2,Projekte!$1:$8,8,FALSE),"erledigt")="erledigt"=TRUE,TRUE,FALSE)</f>
        <v>1</v>
      </c>
      <c r="AC4" s="27" t="b">
        <f>IF(IFERROR(HLOOKUP(AC$2,Projekte!$1:$8,8,FALSE),"erledigt")="erledigt"=TRUE,TRUE,FALSE)</f>
        <v>1</v>
      </c>
      <c r="AD4" s="27" t="b">
        <f>IF(IFERROR(HLOOKUP(AD$2,Projekte!$1:$8,8,FALSE),"erledigt")="erledigt"=TRUE,TRUE,FALSE)</f>
        <v>1</v>
      </c>
      <c r="AE4" s="27" t="b">
        <f>IF(IFERROR(HLOOKUP(AE$2,Projekte!$1:$8,8,FALSE),"erledigt")="erledigt"=TRUE,TRUE,FALSE)</f>
        <v>1</v>
      </c>
      <c r="AF4" s="27" t="b">
        <f>IF(IFERROR(HLOOKUP(AF$2,Projekte!$1:$8,8,FALSE),"erledigt")="erledigt"=TRUE,TRUE,FALSE)</f>
        <v>1</v>
      </c>
      <c r="AG4" s="27" t="b">
        <f>IF(IFERROR(HLOOKUP(AG$2,Projekte!$1:$8,8,FALSE),"erledigt")="erledigt"=TRUE,TRUE,FALSE)</f>
        <v>1</v>
      </c>
      <c r="AH4" s="27" t="b">
        <f>IF(IFERROR(HLOOKUP(AH$2,Projekte!$1:$8,8,FALSE),"erledigt")="erledigt"=TRUE,TRUE,FALSE)</f>
        <v>1</v>
      </c>
      <c r="AI4" s="27" t="b">
        <f>IF(IFERROR(HLOOKUP(AI$2,Projekte!$1:$8,8,FALSE),"erledigt")="erledigt"=TRUE,TRUE,FALSE)</f>
        <v>1</v>
      </c>
      <c r="AJ4" s="27" t="b">
        <f>IF(IFERROR(HLOOKUP(AJ$2,Projekte!$1:$8,8,FALSE),"erledigt")="erledigt"=TRUE,TRUE,FALSE)</f>
        <v>1</v>
      </c>
      <c r="AK4" s="27" t="b">
        <f>IF(IFERROR(HLOOKUP(AK$2,Projekte!$1:$8,8,FALSE),"erledigt")="erledigt"=TRUE,TRUE,FALSE)</f>
        <v>1</v>
      </c>
      <c r="AL4" s="27" t="b">
        <f>IF(IFERROR(HLOOKUP(AL$2,Projekte!$1:$8,8,FALSE),"erledigt")="erledigt"=TRUE,TRUE,FALSE)</f>
        <v>0</v>
      </c>
      <c r="AM4" s="27" t="b">
        <f>IF(IFERROR(HLOOKUP(AM$2,Projekte!$1:$8,8,FALSE),"erledigt")="erledigt"=TRUE,TRUE,FALSE)</f>
        <v>0</v>
      </c>
      <c r="AN4" s="27" t="b">
        <f>IF(IFERROR(HLOOKUP(AN$2,Projekte!$1:$8,8,FALSE),"erledigt")="erledigt"=TRUE,TRUE,FALSE)</f>
        <v>1</v>
      </c>
      <c r="AO4" s="27" t="b">
        <f>IF(IFERROR(HLOOKUP(AO$2,Projekte!$1:$8,8,FALSE),"erledigt")="erledigt"=TRUE,TRUE,FALSE)</f>
        <v>1</v>
      </c>
      <c r="AP4" s="27" t="b">
        <f>IF(IFERROR(HLOOKUP(AP$2,Projekte!$1:$8,8,FALSE),"erledigt")="erledigt"=TRUE,TRUE,FALSE)</f>
        <v>1</v>
      </c>
      <c r="AQ4" s="27" t="b">
        <f>IF(IFERROR(HLOOKUP(AQ$2,Projekte!$1:$8,8,FALSE),"erledigt")="erledigt"=TRUE,TRUE,FALSE)</f>
        <v>1</v>
      </c>
      <c r="AR4" s="27" t="b">
        <f>IF(IFERROR(HLOOKUP(AR$2,Projekte!$1:$8,8,FALSE),"erledigt")="erledigt"=TRUE,TRUE,FALSE)</f>
        <v>1</v>
      </c>
      <c r="AS4" s="27" t="b">
        <f>IF(IFERROR(HLOOKUP(AS$2,Projekte!$1:$8,8,FALSE),"erledigt")="erledigt"=TRUE,TRUE,FALSE)</f>
        <v>1</v>
      </c>
      <c r="AT4" s="27" t="b">
        <f>IF(IFERROR(HLOOKUP(AT$2,Projekte!$1:$8,8,FALSE),"erledigt")="erledigt"=TRUE,TRUE,FALSE)</f>
        <v>1</v>
      </c>
      <c r="AU4" s="27" t="b">
        <f>IF(IFERROR(HLOOKUP(AU$2,Projekte!$1:$8,8,FALSE),"erledigt")="erledigt"=TRUE,TRUE,FALSE)</f>
        <v>1</v>
      </c>
      <c r="AV4" s="27" t="b">
        <f>IF(IFERROR(HLOOKUP(AV$2,Projekte!$1:$8,8,FALSE),"erledigt")="erledigt"=TRUE,TRUE,FALSE)</f>
        <v>1</v>
      </c>
      <c r="AW4" s="27" t="b">
        <f>IF(IFERROR(HLOOKUP(AW$2,Projekte!$1:$8,8,FALSE),"erledigt")="erledigt"=TRUE,TRUE,FALSE)</f>
        <v>1</v>
      </c>
      <c r="AX4" s="27" t="b">
        <f>IF(IFERROR(HLOOKUP(AX$2,Projekte!$1:$8,8,FALSE),"erledigt")="erledigt"=TRUE,TRUE,FALSE)</f>
        <v>1</v>
      </c>
      <c r="AY4" s="27" t="b">
        <f>IF(IFERROR(HLOOKUP(AY$2,Projekte!$1:$8,8,FALSE),"erledigt")="erledigt"=TRUE,TRUE,FALSE)</f>
        <v>1</v>
      </c>
      <c r="AZ4" s="27" t="b">
        <f>IF(IFERROR(HLOOKUP(AZ$2,Projekte!$1:$8,8,FALSE),"erledigt")="erledigt"=TRUE,TRUE,FALSE)</f>
        <v>1</v>
      </c>
      <c r="BA4" s="27" t="b">
        <f>IF(IFERROR(HLOOKUP(BA$2,Projekte!$1:$8,8,FALSE),"erledigt")="erledigt"=TRUE,TRUE,FALSE)</f>
        <v>1</v>
      </c>
      <c r="BB4" s="27" t="b">
        <f>IF(IFERROR(HLOOKUP(BB$2,Projekte!$1:$8,8,FALSE),"erledigt")="erledigt"=TRUE,TRUE,FALSE)</f>
        <v>1</v>
      </c>
      <c r="BC4" s="27" t="b">
        <f>IF(IFERROR(HLOOKUP(BC$2,Projekte!$1:$8,8,FALSE),"erledigt")="erledigt"=TRUE,TRUE,FALSE)</f>
        <v>1</v>
      </c>
      <c r="BD4" s="27" t="b">
        <f>IF(IFERROR(HLOOKUP(BD$2,Projekte!$1:$8,8,FALSE),"erledigt")="erledigt"=TRUE,TRUE,FALSE)</f>
        <v>1</v>
      </c>
      <c r="BE4" s="27" t="b">
        <f>IF(IFERROR(HLOOKUP(BE$2,Projekte!$1:$8,8,FALSE),"erledigt")="erledigt"=TRUE,TRUE,FALSE)</f>
        <v>0</v>
      </c>
    </row>
    <row r="5" spans="1:57" x14ac:dyDescent="0.25">
      <c r="A5" s="159" t="s">
        <v>446</v>
      </c>
      <c r="B5" s="27" t="b">
        <f>IF(IFERROR(HLOOKUP(B$3,Projekte!$1:$8,8,FALSE),"erledigt")="erledigt"=TRUE,TRUE,FALSE)</f>
        <v>1</v>
      </c>
      <c r="C5" s="27" t="b">
        <f>IF(IFERROR(HLOOKUP(C$3,Projekte!$1:$8,8,FALSE),"erledigt")="erledigt"=TRUE,TRUE,FALSE)</f>
        <v>1</v>
      </c>
      <c r="D5" s="27" t="b">
        <f>IF(IFERROR(HLOOKUP(D$3,Projekte!$1:$8,8,FALSE),"erledigt")="erledigt"=TRUE,TRUE,FALSE)</f>
        <v>1</v>
      </c>
      <c r="E5" s="27" t="b">
        <f>IF(IFERROR(HLOOKUP(E$3,Projekte!$1:$8,8,FALSE),"erledigt")="erledigt"=TRUE,TRUE,FALSE)</f>
        <v>1</v>
      </c>
      <c r="F5" s="27" t="b">
        <f>IF(IFERROR(HLOOKUP(F$3,Projekte!$1:$8,8,FALSE),"erledigt")="erledigt"=TRUE,TRUE,FALSE)</f>
        <v>1</v>
      </c>
      <c r="G5" s="27" t="b">
        <f>IF(IFERROR(HLOOKUP(G$3,Projekte!$1:$8,8,FALSE),"erledigt")="erledigt"=TRUE,TRUE,FALSE)</f>
        <v>1</v>
      </c>
      <c r="H5" s="27" t="b">
        <f>IF(IFERROR(HLOOKUP(H$3,Projekte!$1:$8,8,FALSE),"erledigt")="erledigt"=TRUE,TRUE,FALSE)</f>
        <v>1</v>
      </c>
      <c r="I5" s="27" t="b">
        <f>IF(IFERROR(HLOOKUP(I$3,Projekte!$1:$8,8,FALSE),"erledigt")="erledigt"=TRUE,TRUE,FALSE)</f>
        <v>1</v>
      </c>
      <c r="J5" s="27" t="b">
        <f>IF(IFERROR(HLOOKUP(J$3,Projekte!$1:$8,8,FALSE),"erledigt")="erledigt"=TRUE,TRUE,FALSE)</f>
        <v>1</v>
      </c>
      <c r="K5" s="27" t="b">
        <f>IF(IFERROR(HLOOKUP(K$3,Projekte!$1:$8,8,FALSE),"erledigt")="erledigt"=TRUE,TRUE,FALSE)</f>
        <v>1</v>
      </c>
      <c r="L5" s="27" t="b">
        <f>IF(IFERROR(HLOOKUP(L$3,Projekte!$1:$8,8,FALSE),"erledigt")="erledigt"=TRUE,TRUE,FALSE)</f>
        <v>1</v>
      </c>
      <c r="M5" s="27" t="b">
        <f>IF(IFERROR(HLOOKUP(M$3,Projekte!$1:$8,8,FALSE),"erledigt")="erledigt"=TRUE,TRUE,FALSE)</f>
        <v>1</v>
      </c>
      <c r="N5" s="27" t="b">
        <f>IF(IFERROR(HLOOKUP(N$3,Projekte!$1:$8,8,FALSE),"erledigt")="erledigt"=TRUE,TRUE,FALSE)</f>
        <v>1</v>
      </c>
      <c r="O5" s="27" t="b">
        <f>IF(IFERROR(HLOOKUP(O$3,Projekte!$1:$8,8,FALSE),"erledigt")="erledigt"=TRUE,TRUE,FALSE)</f>
        <v>1</v>
      </c>
      <c r="P5" s="27" t="b">
        <f>IF(IFERROR(HLOOKUP(P$3,Projekte!$1:$8,8,FALSE),"erledigt")="erledigt"=TRUE,TRUE,FALSE)</f>
        <v>1</v>
      </c>
      <c r="Q5" s="27" t="b">
        <f>IF(IFERROR(HLOOKUP(Q$3,Projekte!$1:$8,8,FALSE),"erledigt")="erledigt"=TRUE,TRUE,FALSE)</f>
        <v>1</v>
      </c>
      <c r="R5" s="27" t="b">
        <f>IF(IFERROR(HLOOKUP(R$3,Projekte!$1:$8,8,FALSE),"erledigt")="erledigt"=TRUE,TRUE,FALSE)</f>
        <v>1</v>
      </c>
      <c r="S5" s="27" t="b">
        <f>IF(IFERROR(HLOOKUP(S$3,Projekte!$1:$8,8,FALSE),"erledigt")="erledigt"=TRUE,TRUE,FALSE)</f>
        <v>1</v>
      </c>
      <c r="T5" s="27" t="b">
        <f>IF(IFERROR(HLOOKUP(T$3,Projekte!$1:$8,8,FALSE),"erledigt")="erledigt"=TRUE,TRUE,FALSE)</f>
        <v>1</v>
      </c>
      <c r="U5" s="27" t="b">
        <f>IF(IFERROR(HLOOKUP(U$3,Projekte!$1:$8,8,FALSE),"erledigt")="erledigt"=TRUE,TRUE,FALSE)</f>
        <v>1</v>
      </c>
      <c r="V5" s="27" t="b">
        <f>IF(IFERROR(HLOOKUP(V$3,Projekte!$1:$8,8,FALSE),"erledigt")="erledigt"=TRUE,TRUE,FALSE)</f>
        <v>1</v>
      </c>
      <c r="W5" s="27" t="b">
        <f>IF(IFERROR(HLOOKUP(W$3,Projekte!$1:$8,8,FALSE),"erledigt")="erledigt"=TRUE,TRUE,FALSE)</f>
        <v>1</v>
      </c>
      <c r="X5" s="27" t="b">
        <f>IF(IFERROR(HLOOKUP(X$3,Projekte!$1:$8,8,FALSE),"erledigt")="erledigt"=TRUE,TRUE,FALSE)</f>
        <v>1</v>
      </c>
      <c r="Y5" s="27" t="b">
        <f>IF(IFERROR(HLOOKUP(Y$3,Projekte!$1:$8,8,FALSE),"erledigt")="erledigt"=TRUE,TRUE,FALSE)</f>
        <v>1</v>
      </c>
      <c r="Z5" s="27" t="b">
        <f>IF(IFERROR(HLOOKUP(Z$3,Projekte!$1:$8,8,FALSE),"erledigt")="erledigt"=TRUE,TRUE,FALSE)</f>
        <v>1</v>
      </c>
      <c r="AA5" s="27" t="b">
        <f>IF(IFERROR(HLOOKUP(AA$3,Projekte!$1:$8,8,FALSE),"erledigt")="erledigt"=TRUE,TRUE,FALSE)</f>
        <v>1</v>
      </c>
      <c r="AB5" s="27" t="b">
        <f>IF(IFERROR(HLOOKUP(AB$3,Projekte!$1:$8,8,FALSE),"erledigt")="erledigt"=TRUE,TRUE,FALSE)</f>
        <v>1</v>
      </c>
      <c r="AC5" s="27" t="b">
        <f>IF(IFERROR(HLOOKUP(AC$3,Projekte!$1:$8,8,FALSE),"erledigt")="erledigt"=TRUE,TRUE,FALSE)</f>
        <v>1</v>
      </c>
      <c r="AD5" s="27" t="b">
        <f>IF(IFERROR(HLOOKUP(AD$3,Projekte!$1:$8,8,FALSE),"erledigt")="erledigt"=TRUE,TRUE,FALSE)</f>
        <v>1</v>
      </c>
      <c r="AE5" s="27" t="b">
        <f>IF(IFERROR(HLOOKUP(AE$3,Projekte!$1:$8,8,FALSE),"erledigt")="erledigt"=TRUE,TRUE,FALSE)</f>
        <v>1</v>
      </c>
      <c r="AF5" s="27" t="b">
        <f>IF(IFERROR(HLOOKUP(AF$3,Projekte!$1:$8,8,FALSE),"erledigt")="erledigt"=TRUE,TRUE,FALSE)</f>
        <v>1</v>
      </c>
      <c r="AG5" s="27" t="b">
        <f>IF(IFERROR(HLOOKUP(AG$3,Projekte!$1:$8,8,FALSE),"erledigt")="erledigt"=TRUE,TRUE,FALSE)</f>
        <v>1</v>
      </c>
      <c r="AH5" s="27" t="b">
        <f>IF(IFERROR(HLOOKUP(AH$3,Projekte!$1:$8,8,FALSE),"erledigt")="erledigt"=TRUE,TRUE,FALSE)</f>
        <v>1</v>
      </c>
      <c r="AI5" s="27" t="b">
        <f>IF(IFERROR(HLOOKUP(AI$3,Projekte!$1:$8,8,FALSE),"erledigt")="erledigt"=TRUE,TRUE,FALSE)</f>
        <v>1</v>
      </c>
      <c r="AJ5" s="27" t="b">
        <f>IF(IFERROR(HLOOKUP(AJ$3,Projekte!$1:$8,8,FALSE),"erledigt")="erledigt"=TRUE,TRUE,FALSE)</f>
        <v>1</v>
      </c>
      <c r="AK5" s="27" t="b">
        <f>IF(IFERROR(HLOOKUP(AK$3,Projekte!$1:$8,8,FALSE),"erledigt")="erledigt"=TRUE,TRUE,FALSE)</f>
        <v>1</v>
      </c>
      <c r="AL5" s="27" t="b">
        <f>IF(IFERROR(HLOOKUP(AL$3,Projekte!$1:$8,8,FALSE),"erledigt")="erledigt"=TRUE,TRUE,FALSE)</f>
        <v>1</v>
      </c>
      <c r="AM5" s="27" t="b">
        <f>IF(IFERROR(HLOOKUP(AM$3,Projekte!$1:$8,8,FALSE),"erledigt")="erledigt"=TRUE,TRUE,FALSE)</f>
        <v>1</v>
      </c>
      <c r="AN5" s="27" t="b">
        <f>IF(IFERROR(HLOOKUP(AN$3,Projekte!$1:$8,8,FALSE),"erledigt")="erledigt"=TRUE,TRUE,FALSE)</f>
        <v>1</v>
      </c>
      <c r="AO5" s="27" t="b">
        <f>IF(IFERROR(HLOOKUP(AO$3,Projekte!$1:$8,8,FALSE),"erledigt")="erledigt"=TRUE,TRUE,FALSE)</f>
        <v>1</v>
      </c>
      <c r="AP5" s="27" t="b">
        <f>IF(IFERROR(HLOOKUP(AP$3,Projekte!$1:$8,8,FALSE),"erledigt")="erledigt"=TRUE,TRUE,FALSE)</f>
        <v>1</v>
      </c>
      <c r="AQ5" s="27" t="b">
        <f>IF(IFERROR(HLOOKUP(AQ$3,Projekte!$1:$8,8,FALSE),"erledigt")="erledigt"=TRUE,TRUE,FALSE)</f>
        <v>1</v>
      </c>
      <c r="AR5" s="27" t="b">
        <f>IF(IFERROR(HLOOKUP(AR$3,Projekte!$1:$8,8,FALSE),"erledigt")="erledigt"=TRUE,TRUE,FALSE)</f>
        <v>1</v>
      </c>
      <c r="AS5" s="27" t="b">
        <f>IF(IFERROR(HLOOKUP(AS$3,Projekte!$1:$8,8,FALSE),"erledigt")="erledigt"=TRUE,TRUE,FALSE)</f>
        <v>1</v>
      </c>
      <c r="AT5" s="27" t="b">
        <f>IF(IFERROR(HLOOKUP(AT$3,Projekte!$1:$8,8,FALSE),"erledigt")="erledigt"=TRUE,TRUE,FALSE)</f>
        <v>1</v>
      </c>
      <c r="AU5" s="27" t="b">
        <f>IF(IFERROR(HLOOKUP(AU$3,Projekte!$1:$8,8,FALSE),"erledigt")="erledigt"=TRUE,TRUE,FALSE)</f>
        <v>1</v>
      </c>
      <c r="AV5" s="27" t="b">
        <f>IF(IFERROR(HLOOKUP(AV$3,Projekte!$1:$8,8,FALSE),"erledigt")="erledigt"=TRUE,TRUE,FALSE)</f>
        <v>1</v>
      </c>
      <c r="AW5" s="27" t="b">
        <f>IF(IFERROR(HLOOKUP(AW$3,Projekte!$1:$8,8,FALSE),"erledigt")="erledigt"=TRUE,TRUE,FALSE)</f>
        <v>1</v>
      </c>
      <c r="AX5" s="27" t="b">
        <f>IF(IFERROR(HLOOKUP(AX$3,Projekte!$1:$8,8,FALSE),"erledigt")="erledigt"=TRUE,TRUE,FALSE)</f>
        <v>1</v>
      </c>
      <c r="AY5" s="27" t="b">
        <f>IF(IFERROR(HLOOKUP(AY$3,Projekte!$1:$8,8,FALSE),"erledigt")="erledigt"=TRUE,TRUE,FALSE)</f>
        <v>1</v>
      </c>
      <c r="AZ5" s="27" t="b">
        <f>IF(IFERROR(HLOOKUP(AZ$3,Projekte!$1:$8,8,FALSE),"erledigt")="erledigt"=TRUE,TRUE,FALSE)</f>
        <v>1</v>
      </c>
      <c r="BA5" s="27" t="b">
        <f>IF(IFERROR(HLOOKUP(BA$3,Projekte!$1:$8,8,FALSE),"erledigt")="erledigt"=TRUE,TRUE,FALSE)</f>
        <v>1</v>
      </c>
      <c r="BB5" s="27" t="b">
        <f>IF(IFERROR(HLOOKUP(BB$3,Projekte!$1:$8,8,FALSE),"erledigt")="erledigt"=TRUE,TRUE,FALSE)</f>
        <v>1</v>
      </c>
      <c r="BC5" s="27" t="b">
        <f>IF(IFERROR(HLOOKUP(BC$3,Projekte!$1:$8,8,FALSE),"erledigt")="erledigt"=TRUE,TRUE,FALSE)</f>
        <v>1</v>
      </c>
      <c r="BD5" s="27" t="b">
        <f>IF(IFERROR(HLOOKUP(BD$3,Projekte!$1:$8,8,FALSE),"erledigt")="erledigt"=TRUE,TRUE,FALSE)</f>
        <v>1</v>
      </c>
      <c r="BE5" s="27" t="b">
        <f>IF(IFERROR(HLOOKUP(BE$3,Projekte!$1:$8,8,FALSE),"erledigt")="erledigt"=TRUE,TRUE,FALSE)</f>
        <v>1</v>
      </c>
    </row>
    <row r="6" spans="1:57" x14ac:dyDescent="0.25">
      <c r="A6" s="159" t="s">
        <v>447</v>
      </c>
      <c r="B6" s="27" t="b">
        <f>IF(AND(OR(B4="",B4=TRUE),OR(B5="",B5=TRUE)),TRUE,FALSE)</f>
        <v>1</v>
      </c>
      <c r="C6" s="27" t="b">
        <f t="shared" ref="C6:G6" si="0">IF(AND(OR(C4="",C4=TRUE),OR(C5="",C5=TRUE)),TRUE,FALSE)</f>
        <v>1</v>
      </c>
      <c r="D6" s="27" t="b">
        <f t="shared" si="0"/>
        <v>1</v>
      </c>
      <c r="E6" s="27" t="b">
        <f t="shared" si="0"/>
        <v>1</v>
      </c>
      <c r="F6" s="27" t="b">
        <f t="shared" si="0"/>
        <v>1</v>
      </c>
      <c r="G6" s="27" t="b">
        <f t="shared" si="0"/>
        <v>1</v>
      </c>
      <c r="H6" s="27" t="b">
        <f t="shared" ref="H6" si="1">IF(AND(OR(H4="",H4=TRUE),OR(H5="",H5=TRUE)),TRUE,FALSE)</f>
        <v>1</v>
      </c>
      <c r="I6" s="27" t="b">
        <f t="shared" ref="I6" si="2">IF(AND(OR(I4="",I4=TRUE),OR(I5="",I5=TRUE)),TRUE,FALSE)</f>
        <v>1</v>
      </c>
      <c r="J6" s="27" t="b">
        <f t="shared" ref="J6" si="3">IF(AND(OR(J4="",J4=TRUE),OR(J5="",J5=TRUE)),TRUE,FALSE)</f>
        <v>1</v>
      </c>
      <c r="K6" s="27" t="b">
        <f t="shared" ref="K6:L6" si="4">IF(AND(OR(K4="",K4=TRUE),OR(K5="",K5=TRUE)),TRUE,FALSE)</f>
        <v>1</v>
      </c>
      <c r="L6" s="27" t="b">
        <f t="shared" si="4"/>
        <v>1</v>
      </c>
      <c r="M6" s="27" t="b">
        <f t="shared" ref="M6" si="5">IF(AND(OR(M4="",M4=TRUE),OR(M5="",M5=TRUE)),TRUE,FALSE)</f>
        <v>1</v>
      </c>
      <c r="N6" s="27" t="b">
        <f t="shared" ref="N6" si="6">IF(AND(OR(N4="",N4=TRUE),OR(N5="",N5=TRUE)),TRUE,FALSE)</f>
        <v>1</v>
      </c>
      <c r="O6" s="27" t="b">
        <f t="shared" ref="O6" si="7">IF(AND(OR(O4="",O4=TRUE),OR(O5="",O5=TRUE)),TRUE,FALSE)</f>
        <v>1</v>
      </c>
      <c r="P6" s="27" t="b">
        <f t="shared" ref="P6:Q6" si="8">IF(AND(OR(P4="",P4=TRUE),OR(P5="",P5=TRUE)),TRUE,FALSE)</f>
        <v>1</v>
      </c>
      <c r="Q6" s="27" t="b">
        <f t="shared" si="8"/>
        <v>1</v>
      </c>
      <c r="R6" s="27" t="b">
        <f t="shared" ref="R6" si="9">IF(AND(OR(R4="",R4=TRUE),OR(R5="",R5=TRUE)),TRUE,FALSE)</f>
        <v>1</v>
      </c>
      <c r="S6" s="27" t="b">
        <f t="shared" ref="S6" si="10">IF(AND(OR(S4="",S4=TRUE),OR(S5="",S5=TRUE)),TRUE,FALSE)</f>
        <v>1</v>
      </c>
      <c r="T6" s="27" t="b">
        <f t="shared" ref="T6" si="11">IF(AND(OR(T4="",T4=TRUE),OR(T5="",T5=TRUE)),TRUE,FALSE)</f>
        <v>1</v>
      </c>
      <c r="U6" s="27" t="b">
        <f t="shared" ref="U6:V6" si="12">IF(AND(OR(U4="",U4=TRUE),OR(U5="",U5=TRUE)),TRUE,FALSE)</f>
        <v>1</v>
      </c>
      <c r="V6" s="27" t="b">
        <f t="shared" si="12"/>
        <v>1</v>
      </c>
      <c r="W6" s="27" t="b">
        <f t="shared" ref="W6" si="13">IF(AND(OR(W4="",W4=TRUE),OR(W5="",W5=TRUE)),TRUE,FALSE)</f>
        <v>1</v>
      </c>
      <c r="X6" s="27" t="b">
        <f t="shared" ref="X6" si="14">IF(AND(OR(X4="",X4=TRUE),OR(X5="",X5=TRUE)),TRUE,FALSE)</f>
        <v>1</v>
      </c>
      <c r="Y6" s="27" t="b">
        <f t="shared" ref="Y6" si="15">IF(AND(OR(Y4="",Y4=TRUE),OR(Y5="",Y5=TRUE)),TRUE,FALSE)</f>
        <v>1</v>
      </c>
      <c r="Z6" s="27" t="b">
        <f t="shared" ref="Z6:AA6" si="16">IF(AND(OR(Z4="",Z4=TRUE),OR(Z5="",Z5=TRUE)),TRUE,FALSE)</f>
        <v>1</v>
      </c>
      <c r="AA6" s="27" t="b">
        <f t="shared" si="16"/>
        <v>1</v>
      </c>
      <c r="AB6" s="27" t="b">
        <f t="shared" ref="AB6" si="17">IF(AND(OR(AB4="",AB4=TRUE),OR(AB5="",AB5=TRUE)),TRUE,FALSE)</f>
        <v>1</v>
      </c>
      <c r="AC6" s="27" t="b">
        <f t="shared" ref="AC6" si="18">IF(AND(OR(AC4="",AC4=TRUE),OR(AC5="",AC5=TRUE)),TRUE,FALSE)</f>
        <v>1</v>
      </c>
      <c r="AD6" s="27" t="b">
        <f t="shared" ref="AD6" si="19">IF(AND(OR(AD4="",AD4=TRUE),OR(AD5="",AD5=TRUE)),TRUE,FALSE)</f>
        <v>1</v>
      </c>
      <c r="AE6" s="27" t="b">
        <f t="shared" ref="AE6:AF6" si="20">IF(AND(OR(AE4="",AE4=TRUE),OR(AE5="",AE5=TRUE)),TRUE,FALSE)</f>
        <v>1</v>
      </c>
      <c r="AF6" s="27" t="b">
        <f t="shared" si="20"/>
        <v>1</v>
      </c>
      <c r="AG6" s="27" t="b">
        <f t="shared" ref="AG6" si="21">IF(AND(OR(AG4="",AG4=TRUE),OR(AG5="",AG5=TRUE)),TRUE,FALSE)</f>
        <v>1</v>
      </c>
      <c r="AH6" s="27" t="b">
        <f t="shared" ref="AH6" si="22">IF(AND(OR(AH4="",AH4=TRUE),OR(AH5="",AH5=TRUE)),TRUE,FALSE)</f>
        <v>1</v>
      </c>
      <c r="AI6" s="27" t="b">
        <f t="shared" ref="AI6" si="23">IF(AND(OR(AI4="",AI4=TRUE),OR(AI5="",AI5=TRUE)),TRUE,FALSE)</f>
        <v>1</v>
      </c>
      <c r="AJ6" s="27" t="b">
        <f t="shared" ref="AJ6:AK6" si="24">IF(AND(OR(AJ4="",AJ4=TRUE),OR(AJ5="",AJ5=TRUE)),TRUE,FALSE)</f>
        <v>1</v>
      </c>
      <c r="AK6" s="27" t="b">
        <f t="shared" si="24"/>
        <v>1</v>
      </c>
      <c r="AL6" s="27" t="b">
        <f t="shared" ref="AL6" si="25">IF(AND(OR(AL4="",AL4=TRUE),OR(AL5="",AL5=TRUE)),TRUE,FALSE)</f>
        <v>0</v>
      </c>
      <c r="AM6" s="27" t="b">
        <f t="shared" ref="AM6" si="26">IF(AND(OR(AM4="",AM4=TRUE),OR(AM5="",AM5=TRUE)),TRUE,FALSE)</f>
        <v>0</v>
      </c>
      <c r="AN6" s="27" t="b">
        <f t="shared" ref="AN6" si="27">IF(AND(OR(AN4="",AN4=TRUE),OR(AN5="",AN5=TRUE)),TRUE,FALSE)</f>
        <v>1</v>
      </c>
      <c r="AO6" s="27" t="b">
        <f t="shared" ref="AO6:AP6" si="28">IF(AND(OR(AO4="",AO4=TRUE),OR(AO5="",AO5=TRUE)),TRUE,FALSE)</f>
        <v>1</v>
      </c>
      <c r="AP6" s="27" t="b">
        <f t="shared" si="28"/>
        <v>1</v>
      </c>
      <c r="AQ6" s="27" t="b">
        <f t="shared" ref="AQ6" si="29">IF(AND(OR(AQ4="",AQ4=TRUE),OR(AQ5="",AQ5=TRUE)),TRUE,FALSE)</f>
        <v>1</v>
      </c>
      <c r="AR6" s="27" t="b">
        <f t="shared" ref="AR6" si="30">IF(AND(OR(AR4="",AR4=TRUE),OR(AR5="",AR5=TRUE)),TRUE,FALSE)</f>
        <v>1</v>
      </c>
      <c r="AS6" s="27" t="b">
        <f t="shared" ref="AS6" si="31">IF(AND(OR(AS4="",AS4=TRUE),OR(AS5="",AS5=TRUE)),TRUE,FALSE)</f>
        <v>1</v>
      </c>
      <c r="AT6" s="27" t="b">
        <f t="shared" ref="AT6:AU6" si="32">IF(AND(OR(AT4="",AT4=TRUE),OR(AT5="",AT5=TRUE)),TRUE,FALSE)</f>
        <v>1</v>
      </c>
      <c r="AU6" s="27" t="b">
        <f t="shared" si="32"/>
        <v>1</v>
      </c>
      <c r="AV6" s="27" t="b">
        <f t="shared" ref="AV6" si="33">IF(AND(OR(AV4="",AV4=TRUE),OR(AV5="",AV5=TRUE)),TRUE,FALSE)</f>
        <v>1</v>
      </c>
      <c r="AW6" s="27" t="b">
        <f t="shared" ref="AW6" si="34">IF(AND(OR(AW4="",AW4=TRUE),OR(AW5="",AW5=TRUE)),TRUE,FALSE)</f>
        <v>1</v>
      </c>
      <c r="AX6" s="27" t="b">
        <f t="shared" ref="AX6" si="35">IF(AND(OR(AX4="",AX4=TRUE),OR(AX5="",AX5=TRUE)),TRUE,FALSE)</f>
        <v>1</v>
      </c>
      <c r="AY6" s="27" t="b">
        <f t="shared" ref="AY6:AZ6" si="36">IF(AND(OR(AY4="",AY4=TRUE),OR(AY5="",AY5=TRUE)),TRUE,FALSE)</f>
        <v>1</v>
      </c>
      <c r="AZ6" s="27" t="b">
        <f t="shared" si="36"/>
        <v>1</v>
      </c>
      <c r="BA6" s="27" t="b">
        <f t="shared" ref="BA6" si="37">IF(AND(OR(BA4="",BA4=TRUE),OR(BA5="",BA5=TRUE)),TRUE,FALSE)</f>
        <v>1</v>
      </c>
      <c r="BB6" s="27" t="b">
        <f t="shared" ref="BB6" si="38">IF(AND(OR(BB4="",BB4=TRUE),OR(BB5="",BB5=TRUE)),TRUE,FALSE)</f>
        <v>1</v>
      </c>
      <c r="BC6" s="27" t="b">
        <f t="shared" ref="BC6" si="39">IF(AND(OR(BC4="",BC4=TRUE),OR(BC5="",BC5=TRUE)),TRUE,FALSE)</f>
        <v>1</v>
      </c>
      <c r="BD6" s="27" t="b">
        <f t="shared" ref="BD6:BE6" si="40">IF(AND(OR(BD4="",BD4=TRUE),OR(BD5="",BD5=TRUE)),TRUE,FALSE)</f>
        <v>1</v>
      </c>
      <c r="BE6" s="27" t="b">
        <f t="shared" si="40"/>
        <v>0</v>
      </c>
    </row>
    <row r="7" spans="1:57" ht="7.5" customHeight="1" x14ac:dyDescent="0.25"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</row>
    <row r="8" spans="1:57" x14ac:dyDescent="0.25">
      <c r="A8" s="159" t="s">
        <v>454</v>
      </c>
      <c r="B8" s="150">
        <f>Projekte!C4</f>
        <v>1627500</v>
      </c>
      <c r="C8" s="150">
        <f>Projekte!D4</f>
        <v>1807500</v>
      </c>
      <c r="D8" s="150">
        <f>Projekte!E4</f>
        <v>1639500</v>
      </c>
      <c r="E8" s="150">
        <f>Projekte!F4</f>
        <v>939500</v>
      </c>
      <c r="F8" s="150">
        <f>Projekte!G4</f>
        <v>1765000</v>
      </c>
      <c r="G8" s="150">
        <f>Projekte!H4</f>
        <v>3455000</v>
      </c>
      <c r="H8" s="150">
        <f>Projekte!I4</f>
        <v>1900000</v>
      </c>
      <c r="I8" s="150">
        <f>Projekte!J4</f>
        <v>2491000</v>
      </c>
      <c r="J8" s="150">
        <f>Projekte!K4</f>
        <v>2101500</v>
      </c>
      <c r="K8" s="150">
        <f>Projekte!L4</f>
        <v>710300</v>
      </c>
      <c r="L8" s="150">
        <f>Projekte!M4</f>
        <v>1037800</v>
      </c>
      <c r="M8" s="150">
        <f>Projekte!N4</f>
        <v>3098000</v>
      </c>
      <c r="N8" s="150">
        <f>Projekte!O4</f>
        <v>120000</v>
      </c>
      <c r="O8" s="150">
        <f>Projekte!P4</f>
        <v>120000</v>
      </c>
      <c r="P8" s="150">
        <f>Projekte!Q4</f>
        <v>120000</v>
      </c>
      <c r="Q8" s="150">
        <f>Projekte!R4</f>
        <v>120000</v>
      </c>
      <c r="R8" s="150">
        <f>Projekte!S4</f>
        <v>120000</v>
      </c>
      <c r="S8" s="150">
        <f>Projekte!T4</f>
        <v>847500</v>
      </c>
      <c r="T8" s="150">
        <f>Projekte!U4</f>
        <v>1005000</v>
      </c>
      <c r="U8" s="150">
        <f>Projekte!V4</f>
        <v>1022500</v>
      </c>
      <c r="V8" s="150">
        <f>Projekte!W4</f>
        <v>120000</v>
      </c>
      <c r="W8" s="150">
        <f>Projekte!X4</f>
        <v>2077500</v>
      </c>
      <c r="X8" s="150">
        <f>Projekte!Y4</f>
        <v>1627500</v>
      </c>
      <c r="Y8" s="150">
        <f>Projekte!Z4</f>
        <v>2667500</v>
      </c>
      <c r="Z8" s="150">
        <f>Projekte!AA4</f>
        <v>978250</v>
      </c>
      <c r="AA8" s="150">
        <f>Projekte!AB4</f>
        <v>590300</v>
      </c>
      <c r="AB8" s="150">
        <f>Projekte!AC4</f>
        <v>1357500</v>
      </c>
      <c r="AC8" s="150">
        <f>Projekte!AD4</f>
        <v>120000</v>
      </c>
      <c r="AD8" s="150">
        <f>Projekte!AE4</f>
        <v>1847000</v>
      </c>
      <c r="AE8" s="150">
        <f>Projekte!AF4</f>
        <v>1594000</v>
      </c>
      <c r="AF8" s="150">
        <f>Projekte!AG4</f>
        <v>1693300</v>
      </c>
      <c r="AG8" s="150">
        <f>Projekte!AH4</f>
        <v>887000</v>
      </c>
      <c r="AH8" s="150">
        <f>Projekte!AI4</f>
        <v>3321000</v>
      </c>
      <c r="AI8" s="150">
        <f>Projekte!AJ4</f>
        <v>2130100</v>
      </c>
      <c r="AJ8" s="150">
        <f>Projekte!AK4</f>
        <v>120000</v>
      </c>
      <c r="AK8" s="150">
        <f>Projekte!AL4</f>
        <v>1065000</v>
      </c>
      <c r="AL8" s="150">
        <f>Projekte!AM4</f>
        <v>1108100</v>
      </c>
      <c r="AM8" s="150">
        <f>Projekte!AN4</f>
        <v>1900600</v>
      </c>
      <c r="AN8" s="150">
        <f>Projekte!AO4</f>
        <v>870000</v>
      </c>
      <c r="AO8" s="150">
        <f>Projekte!AP4</f>
        <v>120000</v>
      </c>
      <c r="AP8" s="150">
        <f>Projekte!AQ4</f>
        <v>2054600</v>
      </c>
      <c r="AQ8" s="150">
        <f>Projekte!AR4</f>
        <v>507500</v>
      </c>
      <c r="AR8" s="150">
        <f>Projekte!AS4</f>
        <v>1372500</v>
      </c>
      <c r="AS8" s="150">
        <f>Projekte!AT4</f>
        <v>2387600</v>
      </c>
      <c r="AT8" s="150">
        <f>Projekte!AU4</f>
        <v>120000</v>
      </c>
      <c r="AU8" s="150">
        <f>Projekte!AV4</f>
        <v>120000</v>
      </c>
      <c r="AV8" s="150">
        <f>Projekte!AW4</f>
        <v>832500</v>
      </c>
      <c r="AW8" s="150">
        <f>Projekte!AX4</f>
        <v>1353750</v>
      </c>
      <c r="AX8" s="150">
        <f>Projekte!AY4</f>
        <v>2995000</v>
      </c>
      <c r="AY8" s="150">
        <f>Projekte!AZ4</f>
        <v>2335000</v>
      </c>
      <c r="AZ8" s="150">
        <f>Projekte!BA4</f>
        <v>2485000</v>
      </c>
      <c r="BA8" s="150">
        <f>Projekte!BB4</f>
        <v>2777500</v>
      </c>
      <c r="BB8" s="150">
        <f>Projekte!BC4</f>
        <v>3366000</v>
      </c>
      <c r="BC8" s="150">
        <f>Projekte!BD4</f>
        <v>3968000</v>
      </c>
      <c r="BD8" s="150">
        <f>Projekte!BE4</f>
        <v>3494000</v>
      </c>
      <c r="BE8" s="150">
        <f>Projekte!BF4</f>
        <v>120000</v>
      </c>
    </row>
    <row r="9" spans="1:57" x14ac:dyDescent="0.25">
      <c r="A9" s="159" t="s">
        <v>488</v>
      </c>
      <c r="B9" s="27">
        <f>SUM(Projekte!C33:C36)</f>
        <v>0</v>
      </c>
      <c r="C9" s="27">
        <f>SUM(Projekte!D33:D36)</f>
        <v>0</v>
      </c>
      <c r="D9" s="27">
        <f>SUM(Projekte!E33:E36)</f>
        <v>0</v>
      </c>
      <c r="E9" s="27">
        <f>SUM(Projekte!F33:F36)</f>
        <v>0</v>
      </c>
      <c r="F9" s="27">
        <f>SUM(Projekte!G33:G36)</f>
        <v>2</v>
      </c>
      <c r="G9" s="27">
        <f>SUM(Projekte!H33:H36)</f>
        <v>0</v>
      </c>
      <c r="H9" s="27">
        <f>SUM(Projekte!I33:I36)</f>
        <v>0</v>
      </c>
      <c r="I9" s="27">
        <f>SUM(Projekte!J33:J36)</f>
        <v>1</v>
      </c>
      <c r="J9" s="27">
        <f>SUM(Projekte!K33:K36)</f>
        <v>1</v>
      </c>
      <c r="K9" s="27">
        <f>SUM(Projekte!L33:L36)</f>
        <v>0</v>
      </c>
      <c r="L9" s="27">
        <f>SUM(Projekte!M33:M36)</f>
        <v>0</v>
      </c>
      <c r="M9" s="27">
        <f>SUM(Projekte!N33:N36)</f>
        <v>0</v>
      </c>
      <c r="N9" s="27">
        <f>SUM(Projekte!O33:O36)</f>
        <v>0</v>
      </c>
      <c r="O9" s="27">
        <f>SUM(Projekte!P33:P36)</f>
        <v>0</v>
      </c>
      <c r="P9" s="27">
        <f>SUM(Projekte!Q33:Q36)</f>
        <v>0</v>
      </c>
      <c r="Q9" s="27">
        <f>SUM(Projekte!R33:R36)</f>
        <v>0</v>
      </c>
      <c r="R9" s="27">
        <f>SUM(Projekte!S33:S36)</f>
        <v>0</v>
      </c>
      <c r="S9" s="27">
        <f>SUM(Projekte!T33:T36)</f>
        <v>0</v>
      </c>
      <c r="T9" s="27">
        <f>SUM(Projekte!U33:U36)</f>
        <v>0</v>
      </c>
      <c r="U9" s="27">
        <f>SUM(Projekte!V33:V36)</f>
        <v>0</v>
      </c>
      <c r="V9" s="27">
        <f>SUM(Projekte!W33:W36)</f>
        <v>2</v>
      </c>
      <c r="W9" s="27">
        <f>SUM(Projekte!X33:X36)</f>
        <v>0</v>
      </c>
      <c r="X9" s="27">
        <f>SUM(Projekte!Y33:Y36)</f>
        <v>1</v>
      </c>
      <c r="Y9" s="27">
        <f>SUM(Projekte!Z33:Z36)</f>
        <v>1</v>
      </c>
      <c r="Z9" s="27">
        <f>SUM(Projekte!AA33:AA36)</f>
        <v>0</v>
      </c>
      <c r="AA9" s="27">
        <f>SUM(Projekte!AB33:AB36)</f>
        <v>0</v>
      </c>
      <c r="AB9" s="27">
        <f>SUM(Projekte!AC33:AC36)</f>
        <v>0</v>
      </c>
      <c r="AC9" s="27">
        <f>SUM(Projekte!AD33:AD36)</f>
        <v>2</v>
      </c>
      <c r="AD9" s="27">
        <f>SUM(Projekte!AE33:AE36)</f>
        <v>0</v>
      </c>
      <c r="AE9" s="27">
        <f>SUM(Projekte!AF33:AF36)</f>
        <v>6</v>
      </c>
      <c r="AF9" s="27">
        <f>SUM(Projekte!AG33:AG36)</f>
        <v>2</v>
      </c>
      <c r="AG9" s="27">
        <f>SUM(Projekte!AH33:AH36)</f>
        <v>0</v>
      </c>
      <c r="AH9" s="27">
        <f>SUM(Projekte!AI33:AI36)</f>
        <v>0</v>
      </c>
      <c r="AI9" s="27">
        <f>SUM(Projekte!AJ33:AJ36)</f>
        <v>3</v>
      </c>
      <c r="AJ9" s="27">
        <f>SUM(Projekte!AK33:AK36)</f>
        <v>5</v>
      </c>
      <c r="AK9" s="27">
        <f>SUM(Projekte!AL33:AL36)</f>
        <v>0</v>
      </c>
      <c r="AL9" s="27">
        <f>SUM(Projekte!AM33:AM36)</f>
        <v>0</v>
      </c>
      <c r="AM9" s="27">
        <f>SUM(Projekte!AN33:AN36)</f>
        <v>1</v>
      </c>
      <c r="AN9" s="27">
        <f>SUM(Projekte!AO33:AO36)</f>
        <v>0</v>
      </c>
      <c r="AO9" s="27">
        <f>SUM(Projekte!AP33:AP36)</f>
        <v>0</v>
      </c>
      <c r="AP9" s="27">
        <f>SUM(Projekte!AQ33:AQ36)</f>
        <v>0</v>
      </c>
      <c r="AQ9" s="27">
        <f>SUM(Projekte!AR33:AR36)</f>
        <v>0</v>
      </c>
      <c r="AR9" s="27">
        <f>SUM(Projekte!AS33:AS36)</f>
        <v>0</v>
      </c>
      <c r="AS9" s="27">
        <f>SUM(Projekte!AT33:AT36)</f>
        <v>4</v>
      </c>
      <c r="AT9" s="27">
        <f>SUM(Projekte!AU33:AU36)</f>
        <v>2</v>
      </c>
      <c r="AU9" s="27">
        <f>SUM(Projekte!AV33:AV36)</f>
        <v>1</v>
      </c>
      <c r="AV9" s="27">
        <f>SUM(Projekte!AW33:AW36)</f>
        <v>1</v>
      </c>
      <c r="AW9" s="27">
        <f>SUM(Projekte!AX33:AX36)</f>
        <v>1</v>
      </c>
      <c r="AX9" s="27">
        <f>SUM(Projekte!AY33:AY36)</f>
        <v>2</v>
      </c>
      <c r="AY9" s="27">
        <f>SUM(Projekte!AZ33:AZ36)</f>
        <v>0</v>
      </c>
      <c r="AZ9" s="27">
        <f>SUM(Projekte!BA33:BA36)</f>
        <v>0</v>
      </c>
      <c r="BA9" s="27">
        <f>SUM(Projekte!BB33:BB36)</f>
        <v>2</v>
      </c>
      <c r="BB9" s="27">
        <f>SUM(Projekte!BC33:BC36)</f>
        <v>0</v>
      </c>
      <c r="BC9" s="27">
        <f>SUM(Projekte!BD33:BD36)</f>
        <v>0</v>
      </c>
      <c r="BD9" s="27">
        <f>SUM(Projekte!BE33:BE36)</f>
        <v>0</v>
      </c>
      <c r="BE9" s="27">
        <f>SUM(Projekte!BF33:BF36)</f>
        <v>0</v>
      </c>
    </row>
    <row r="10" spans="1:57" x14ac:dyDescent="0.25">
      <c r="A10" s="159" t="s">
        <v>489</v>
      </c>
      <c r="B10" s="27">
        <f>SUM(Projekte!C37:C40)</f>
        <v>0</v>
      </c>
      <c r="C10" s="27">
        <f>SUM(Projekte!D37:D40)</f>
        <v>0</v>
      </c>
      <c r="D10" s="27">
        <f>SUM(Projekte!E37:E40)</f>
        <v>2</v>
      </c>
      <c r="E10" s="27">
        <f>SUM(Projekte!F37:F40)</f>
        <v>0</v>
      </c>
      <c r="F10" s="27">
        <f>SUM(Projekte!G37:G40)</f>
        <v>4</v>
      </c>
      <c r="G10" s="27">
        <f>SUM(Projekte!H37:H40)</f>
        <v>5</v>
      </c>
      <c r="H10" s="27">
        <f>SUM(Projekte!I37:I40)</f>
        <v>6</v>
      </c>
      <c r="I10" s="27">
        <f>SUM(Projekte!J37:J40)</f>
        <v>7</v>
      </c>
      <c r="J10" s="27">
        <f>SUM(Projekte!K37:K40)</f>
        <v>6</v>
      </c>
      <c r="K10" s="27">
        <f>SUM(Projekte!L37:L40)</f>
        <v>1</v>
      </c>
      <c r="L10" s="27">
        <f>SUM(Projekte!M37:M40)</f>
        <v>3</v>
      </c>
      <c r="M10" s="27">
        <f>SUM(Projekte!N37:N40)</f>
        <v>0</v>
      </c>
      <c r="N10" s="27">
        <f>SUM(Projekte!O37:O40)</f>
        <v>9</v>
      </c>
      <c r="O10" s="27">
        <f>SUM(Projekte!P37:P40)</f>
        <v>4</v>
      </c>
      <c r="P10" s="27">
        <f>SUM(Projekte!Q37:Q40)</f>
        <v>7</v>
      </c>
      <c r="Q10" s="27">
        <f>SUM(Projekte!R37:R40)</f>
        <v>3</v>
      </c>
      <c r="R10" s="27">
        <f>SUM(Projekte!S37:S40)</f>
        <v>6</v>
      </c>
      <c r="S10" s="27">
        <f>SUM(Projekte!T37:T40)</f>
        <v>5</v>
      </c>
      <c r="T10" s="27">
        <f>SUM(Projekte!U37:U40)</f>
        <v>3</v>
      </c>
      <c r="U10" s="27">
        <f>SUM(Projekte!V37:V40)</f>
        <v>2</v>
      </c>
      <c r="V10" s="27">
        <f>SUM(Projekte!W37:W40)</f>
        <v>1</v>
      </c>
      <c r="W10" s="27">
        <f>SUM(Projekte!X37:X40)</f>
        <v>0</v>
      </c>
      <c r="X10" s="27">
        <f>SUM(Projekte!Y37:Y40)</f>
        <v>2</v>
      </c>
      <c r="Y10" s="27">
        <f>SUM(Projekte!Z37:Z40)</f>
        <v>1</v>
      </c>
      <c r="Z10" s="27">
        <f>SUM(Projekte!AA37:AA40)</f>
        <v>3</v>
      </c>
      <c r="AA10" s="27">
        <f>SUM(Projekte!AB37:AB40)</f>
        <v>0</v>
      </c>
      <c r="AB10" s="27">
        <f>SUM(Projekte!AC37:AC40)</f>
        <v>0</v>
      </c>
      <c r="AC10" s="27">
        <f>SUM(Projekte!AD37:AD40)</f>
        <v>3</v>
      </c>
      <c r="AD10" s="27">
        <f>SUM(Projekte!AE37:AE40)</f>
        <v>4</v>
      </c>
      <c r="AE10" s="27">
        <f>SUM(Projekte!AF37:AF40)</f>
        <v>1</v>
      </c>
      <c r="AF10" s="27">
        <f>SUM(Projekte!AG37:AG40)</f>
        <v>2</v>
      </c>
      <c r="AG10" s="27">
        <f>SUM(Projekte!AH37:AH40)</f>
        <v>1</v>
      </c>
      <c r="AH10" s="27">
        <f>SUM(Projekte!AI37:AI40)</f>
        <v>0</v>
      </c>
      <c r="AI10" s="27">
        <f>SUM(Projekte!AJ37:AJ40)</f>
        <v>2</v>
      </c>
      <c r="AJ10" s="27">
        <f>SUM(Projekte!AK37:AK40)</f>
        <v>2</v>
      </c>
      <c r="AK10" s="27">
        <f>SUM(Projekte!AL37:AL40)</f>
        <v>0</v>
      </c>
      <c r="AL10" s="27">
        <f>SUM(Projekte!AM37:AM40)</f>
        <v>0</v>
      </c>
      <c r="AM10" s="27">
        <f>SUM(Projekte!AN37:AN40)</f>
        <v>1</v>
      </c>
      <c r="AN10" s="27">
        <f>SUM(Projekte!AO37:AO40)</f>
        <v>4</v>
      </c>
      <c r="AO10" s="27">
        <f>SUM(Projekte!AP37:AP40)</f>
        <v>5</v>
      </c>
      <c r="AP10" s="27">
        <f>SUM(Projekte!AQ37:AQ40)</f>
        <v>0</v>
      </c>
      <c r="AQ10" s="27">
        <f>SUM(Projekte!AR37:AR40)</f>
        <v>3</v>
      </c>
      <c r="AR10" s="27">
        <f>SUM(Projekte!AS37:AS40)</f>
        <v>4</v>
      </c>
      <c r="AS10" s="27">
        <f>SUM(Projekte!AT37:AT40)</f>
        <v>2</v>
      </c>
      <c r="AT10" s="27">
        <f>SUM(Projekte!AU37:AU40)</f>
        <v>2</v>
      </c>
      <c r="AU10" s="27">
        <f>SUM(Projekte!AV37:AV40)</f>
        <v>6</v>
      </c>
      <c r="AV10" s="27">
        <f>SUM(Projekte!AW37:AW40)</f>
        <v>1</v>
      </c>
      <c r="AW10" s="27">
        <f>SUM(Projekte!AX37:AX40)</f>
        <v>1</v>
      </c>
      <c r="AX10" s="27">
        <f>SUM(Projekte!AY37:AY40)</f>
        <v>2</v>
      </c>
      <c r="AY10" s="27">
        <f>SUM(Projekte!AZ37:AZ40)</f>
        <v>0</v>
      </c>
      <c r="AZ10" s="27">
        <f>SUM(Projekte!BA37:BA40)</f>
        <v>0</v>
      </c>
      <c r="BA10" s="27">
        <f>SUM(Projekte!BB37:BB40)</f>
        <v>2</v>
      </c>
      <c r="BB10" s="27">
        <f>SUM(Projekte!BC37:BC40)</f>
        <v>0</v>
      </c>
      <c r="BC10" s="27">
        <f>SUM(Projekte!BD37:BD40)</f>
        <v>0</v>
      </c>
      <c r="BD10" s="27">
        <f>SUM(Projekte!BE37:BE40)</f>
        <v>0</v>
      </c>
      <c r="BE10" s="27">
        <f>SUM(Projekte!BF37:BF40)</f>
        <v>0</v>
      </c>
    </row>
    <row r="11" spans="1:57" x14ac:dyDescent="0.25">
      <c r="A11" s="159" t="s">
        <v>490</v>
      </c>
      <c r="B11" s="27">
        <f>SUM(Projekte!C41:C44)</f>
        <v>6</v>
      </c>
      <c r="C11" s="27">
        <f>SUM(Projekte!D41:D44)</f>
        <v>6</v>
      </c>
      <c r="D11" s="27">
        <f>SUM(Projekte!E41:E44)</f>
        <v>4</v>
      </c>
      <c r="E11" s="27">
        <f>SUM(Projekte!F41:F44)</f>
        <v>2</v>
      </c>
      <c r="F11" s="27">
        <f>SUM(Projekte!G41:G44)</f>
        <v>2</v>
      </c>
      <c r="G11" s="27">
        <f>SUM(Projekte!H41:H44)</f>
        <v>0</v>
      </c>
      <c r="H11" s="27">
        <f>SUM(Projekte!I41:I44)</f>
        <v>0</v>
      </c>
      <c r="I11" s="27">
        <f>SUM(Projekte!J41:J44)</f>
        <v>1</v>
      </c>
      <c r="J11" s="27">
        <f>SUM(Projekte!K41:K44)</f>
        <v>1</v>
      </c>
      <c r="K11" s="27">
        <f>SUM(Projekte!L41:L44)</f>
        <v>0</v>
      </c>
      <c r="L11" s="27">
        <f>SUM(Projekte!M41:M44)</f>
        <v>0</v>
      </c>
      <c r="M11" s="27">
        <f>SUM(Projekte!N41:N44)</f>
        <v>0</v>
      </c>
      <c r="N11" s="27">
        <f>SUM(Projekte!O41:O44)</f>
        <v>0</v>
      </c>
      <c r="O11" s="27">
        <f>SUM(Projekte!P41:P44)</f>
        <v>0</v>
      </c>
      <c r="P11" s="27">
        <f>SUM(Projekte!Q41:Q44)</f>
        <v>0</v>
      </c>
      <c r="Q11" s="27">
        <f>SUM(Projekte!R41:R44)</f>
        <v>1</v>
      </c>
      <c r="R11" s="27">
        <f>SUM(Projekte!S41:S44)</f>
        <v>0</v>
      </c>
      <c r="S11" s="27">
        <f>SUM(Projekte!T41:T44)</f>
        <v>0</v>
      </c>
      <c r="T11" s="27">
        <f>SUM(Projekte!U41:U44)</f>
        <v>0</v>
      </c>
      <c r="U11" s="27">
        <f>SUM(Projekte!V41:V44)</f>
        <v>1</v>
      </c>
      <c r="V11" s="27">
        <f>SUM(Projekte!W41:W44)</f>
        <v>3</v>
      </c>
      <c r="W11" s="27">
        <f>SUM(Projekte!X41:X44)</f>
        <v>7</v>
      </c>
      <c r="X11" s="27">
        <f>SUM(Projekte!Y41:Y44)</f>
        <v>2</v>
      </c>
      <c r="Y11" s="27">
        <f>SUM(Projekte!Z41:Z44)</f>
        <v>4</v>
      </c>
      <c r="Z11" s="27">
        <f>SUM(Projekte!AA41:AA44)</f>
        <v>0</v>
      </c>
      <c r="AA11" s="27">
        <f>SUM(Projekte!AB41:AB44)</f>
        <v>1</v>
      </c>
      <c r="AB11" s="27">
        <f>SUM(Projekte!AC41:AC44)</f>
        <v>6</v>
      </c>
      <c r="AC11" s="27">
        <f>SUM(Projekte!AD41:AD44)</f>
        <v>2</v>
      </c>
      <c r="AD11" s="27">
        <f>SUM(Projekte!AE41:AE44)</f>
        <v>2</v>
      </c>
      <c r="AE11" s="27">
        <f>SUM(Projekte!AF41:AF44)</f>
        <v>1</v>
      </c>
      <c r="AF11" s="27">
        <f>SUM(Projekte!AG41:AG44)</f>
        <v>3</v>
      </c>
      <c r="AG11" s="27">
        <f>SUM(Projekte!AH41:AH44)</f>
        <v>1</v>
      </c>
      <c r="AH11" s="27">
        <f>SUM(Projekte!AI41:AI44)</f>
        <v>0</v>
      </c>
      <c r="AI11" s="27">
        <f>SUM(Projekte!AJ41:AJ44)</f>
        <v>2</v>
      </c>
      <c r="AJ11" s="27">
        <f>SUM(Projekte!AK41:AK44)</f>
        <v>2</v>
      </c>
      <c r="AK11" s="27">
        <f>SUM(Projekte!AL41:AL44)</f>
        <v>0</v>
      </c>
      <c r="AL11" s="27">
        <f>SUM(Projekte!AM41:AM44)</f>
        <v>0</v>
      </c>
      <c r="AM11" s="27">
        <f>SUM(Projekte!AN41:AN44)</f>
        <v>3</v>
      </c>
      <c r="AN11" s="27">
        <f>SUM(Projekte!AO41:AO44)</f>
        <v>1</v>
      </c>
      <c r="AO11" s="27">
        <f>SUM(Projekte!AP41:AP44)</f>
        <v>0</v>
      </c>
      <c r="AP11" s="27">
        <f>SUM(Projekte!AQ41:AQ44)</f>
        <v>0</v>
      </c>
      <c r="AQ11" s="27">
        <f>SUM(Projekte!AR41:AR44)</f>
        <v>0</v>
      </c>
      <c r="AR11" s="27">
        <f>SUM(Projekte!AS41:AS44)</f>
        <v>0</v>
      </c>
      <c r="AS11" s="27">
        <f>SUM(Projekte!AT41:AT44)</f>
        <v>0</v>
      </c>
      <c r="AT11" s="27">
        <f>SUM(Projekte!AU41:AU44)</f>
        <v>2</v>
      </c>
      <c r="AU11" s="27">
        <f>SUM(Projekte!AV41:AV44)</f>
        <v>2</v>
      </c>
      <c r="AV11" s="27">
        <f>SUM(Projekte!AW41:AW44)</f>
        <v>1</v>
      </c>
      <c r="AW11" s="27">
        <f>SUM(Projekte!AX41:AX44)</f>
        <v>1</v>
      </c>
      <c r="AX11" s="27">
        <f>SUM(Projekte!AY41:AY44)</f>
        <v>6</v>
      </c>
      <c r="AY11" s="27">
        <f>SUM(Projekte!AZ41:AZ44)</f>
        <v>0</v>
      </c>
      <c r="AZ11" s="27">
        <f>SUM(Projekte!BA41:BA44)</f>
        <v>0</v>
      </c>
      <c r="BA11" s="27">
        <f>SUM(Projekte!BB41:BB44)</f>
        <v>3</v>
      </c>
      <c r="BB11" s="27">
        <f>SUM(Projekte!BC41:BC44)</f>
        <v>0</v>
      </c>
      <c r="BC11" s="27">
        <f>SUM(Projekte!BD41:BD44)</f>
        <v>1</v>
      </c>
      <c r="BD11" s="27">
        <f>SUM(Projekte!BE41:BE44)</f>
        <v>0</v>
      </c>
      <c r="BE11" s="27">
        <f>SUM(Projekte!BF41:BF44)</f>
        <v>0</v>
      </c>
    </row>
    <row r="12" spans="1:57" x14ac:dyDescent="0.25">
      <c r="A12" s="159" t="s">
        <v>486</v>
      </c>
      <c r="B12" s="27">
        <f>SUM(Projekte!C45:C48)</f>
        <v>0</v>
      </c>
      <c r="C12" s="27">
        <f>SUM(Projekte!D45:D48)</f>
        <v>0</v>
      </c>
      <c r="D12" s="27">
        <f>SUM(Projekte!E45:E48)</f>
        <v>1</v>
      </c>
      <c r="E12" s="27">
        <f>SUM(Projekte!F45:F48)</f>
        <v>3</v>
      </c>
      <c r="F12" s="27">
        <f>SUM(Projekte!G45:G48)</f>
        <v>2</v>
      </c>
      <c r="G12" s="27">
        <f>SUM(Projekte!H45:H48)</f>
        <v>0</v>
      </c>
      <c r="H12" s="27">
        <f>SUM(Projekte!I45:I48)</f>
        <v>0</v>
      </c>
      <c r="I12" s="27">
        <f>SUM(Projekte!J45:J48)</f>
        <v>0</v>
      </c>
      <c r="J12" s="27">
        <f>SUM(Projekte!K45:K48)</f>
        <v>0</v>
      </c>
      <c r="K12" s="27">
        <f>SUM(Projekte!L45:L48)</f>
        <v>2</v>
      </c>
      <c r="L12" s="27">
        <f>SUM(Projekte!M45:M48)</f>
        <v>0</v>
      </c>
      <c r="M12" s="27">
        <f>SUM(Projekte!N45:N48)</f>
        <v>4</v>
      </c>
      <c r="N12" s="27">
        <f>SUM(Projekte!O45:O48)</f>
        <v>0</v>
      </c>
      <c r="O12" s="27">
        <f>SUM(Projekte!P45:P48)</f>
        <v>0</v>
      </c>
      <c r="P12" s="27">
        <f>SUM(Projekte!Q45:Q48)</f>
        <v>0</v>
      </c>
      <c r="Q12" s="27">
        <f>SUM(Projekte!R45:R48)</f>
        <v>0</v>
      </c>
      <c r="R12" s="27">
        <f>SUM(Projekte!S45:S48)</f>
        <v>0</v>
      </c>
      <c r="S12" s="27">
        <f>SUM(Projekte!T45:T48)</f>
        <v>0</v>
      </c>
      <c r="T12" s="27">
        <f>SUM(Projekte!U45:U48)</f>
        <v>0</v>
      </c>
      <c r="U12" s="27">
        <f>SUM(Projekte!V45:V48)</f>
        <v>0</v>
      </c>
      <c r="V12" s="27">
        <f>SUM(Projekte!W45:W48)</f>
        <v>3</v>
      </c>
      <c r="W12" s="27">
        <f>SUM(Projekte!X45:X48)</f>
        <v>0</v>
      </c>
      <c r="X12" s="27">
        <f>SUM(Projekte!Y45:Y48)</f>
        <v>1</v>
      </c>
      <c r="Y12" s="27">
        <f>SUM(Projekte!Z45:Z48)</f>
        <v>1</v>
      </c>
      <c r="Z12" s="27">
        <f>SUM(Projekte!AA45:AA48)</f>
        <v>0</v>
      </c>
      <c r="AA12" s="27">
        <f>SUM(Projekte!AB45:AB48)</f>
        <v>1</v>
      </c>
      <c r="AB12" s="27">
        <f>SUM(Projekte!AC45:AC48)</f>
        <v>0</v>
      </c>
      <c r="AC12" s="27">
        <f>SUM(Projekte!AD45:AD48)</f>
        <v>3</v>
      </c>
      <c r="AD12" s="27">
        <f>SUM(Projekte!AE45:AE48)</f>
        <v>1</v>
      </c>
      <c r="AE12" s="27">
        <f>SUM(Projekte!AF45:AF48)</f>
        <v>1</v>
      </c>
      <c r="AF12" s="27">
        <f>SUM(Projekte!AG45:AG48)</f>
        <v>0</v>
      </c>
      <c r="AG12" s="27">
        <f>SUM(Projekte!AH45:AH48)</f>
        <v>1</v>
      </c>
      <c r="AH12" s="27">
        <f>SUM(Projekte!AI45:AI48)</f>
        <v>9</v>
      </c>
      <c r="AI12" s="27">
        <f>SUM(Projekte!AJ45:AJ48)</f>
        <v>2</v>
      </c>
      <c r="AJ12" s="27">
        <f>SUM(Projekte!AK45:AK48)</f>
        <v>3</v>
      </c>
      <c r="AK12" s="27">
        <f>SUM(Projekte!AL45:AL48)</f>
        <v>0</v>
      </c>
      <c r="AL12" s="27">
        <f>SUM(Projekte!AM45:AM48)</f>
        <v>0</v>
      </c>
      <c r="AM12" s="27">
        <f>SUM(Projekte!AN45:AN48)</f>
        <v>4</v>
      </c>
      <c r="AN12" s="27">
        <f>SUM(Projekte!AO45:AO48)</f>
        <v>0</v>
      </c>
      <c r="AO12" s="27">
        <f>SUM(Projekte!AP45:AP48)</f>
        <v>0</v>
      </c>
      <c r="AP12" s="27">
        <f>SUM(Projekte!AQ45:AQ48)</f>
        <v>6</v>
      </c>
      <c r="AQ12" s="27">
        <f>SUM(Projekte!AR45:AR48)</f>
        <v>0</v>
      </c>
      <c r="AR12" s="27">
        <f>SUM(Projekte!AS45:AS48)</f>
        <v>0</v>
      </c>
      <c r="AS12" s="27">
        <f>SUM(Projekte!AT45:AT48)</f>
        <v>0</v>
      </c>
      <c r="AT12" s="27">
        <f>SUM(Projekte!AU45:AU48)</f>
        <v>2</v>
      </c>
      <c r="AU12" s="27">
        <f>SUM(Projekte!AV45:AV48)</f>
        <v>1</v>
      </c>
      <c r="AV12" s="27">
        <f>SUM(Projekte!AW45:AW48)</f>
        <v>0</v>
      </c>
      <c r="AW12" s="27">
        <f>SUM(Projekte!AX45:AX48)</f>
        <v>1</v>
      </c>
      <c r="AX12" s="27">
        <f>SUM(Projekte!AY45:AY48)</f>
        <v>2</v>
      </c>
      <c r="AY12" s="27">
        <f>SUM(Projekte!AZ45:AZ48)</f>
        <v>0</v>
      </c>
      <c r="AZ12" s="27">
        <f>SUM(Projekte!BA45:BA48)</f>
        <v>0</v>
      </c>
      <c r="BA12" s="27">
        <f>SUM(Projekte!BB45:BB48)</f>
        <v>1</v>
      </c>
      <c r="BB12" s="27">
        <f>SUM(Projekte!BC45:BC48)</f>
        <v>5</v>
      </c>
      <c r="BC12" s="27">
        <f>SUM(Projekte!BD45:BD48)</f>
        <v>4</v>
      </c>
      <c r="BD12" s="27">
        <f>SUM(Projekte!BE45:BE48)</f>
        <v>5</v>
      </c>
      <c r="BE12" s="27">
        <f>SUM(Projekte!BF45:BF48)</f>
        <v>6</v>
      </c>
    </row>
    <row r="13" spans="1:57" x14ac:dyDescent="0.25">
      <c r="A13" s="159" t="s">
        <v>487</v>
      </c>
      <c r="B13" s="150">
        <f>SUMPRODUCT(Projekte!C15:C27,'Speicher Kosten'!$B21:$B33)/2</f>
        <v>0</v>
      </c>
      <c r="C13" s="150">
        <f>SUMPRODUCT(Projekte!D15:D27,'Speicher Kosten'!$B21:$B33)/2</f>
        <v>0</v>
      </c>
      <c r="D13" s="150">
        <f>SUMPRODUCT(Projekte!E15:E27,'Speicher Kosten'!$B21:$B33)/2</f>
        <v>0</v>
      </c>
      <c r="E13" s="150">
        <f>SUMPRODUCT(Projekte!F15:F27,'Speicher Kosten'!$B21:$B33)/2</f>
        <v>0</v>
      </c>
      <c r="F13" s="150">
        <f>SUMPRODUCT(Projekte!G15:G27,'Speicher Kosten'!$B21:$B33)/2</f>
        <v>0</v>
      </c>
      <c r="G13" s="150">
        <f>SUMPRODUCT(Projekte!H15:H27,'Speicher Kosten'!$B21:$B33)/2</f>
        <v>0</v>
      </c>
      <c r="H13" s="150">
        <f>SUMPRODUCT(Projekte!I15:I27,'Speicher Kosten'!$B21:$B33)/2</f>
        <v>0</v>
      </c>
      <c r="I13" s="150">
        <f>SUMPRODUCT(Projekte!J15:J27,'Speicher Kosten'!$B21:$B33)/2</f>
        <v>0</v>
      </c>
      <c r="J13" s="150">
        <f>SUMPRODUCT(Projekte!K15:K27,'Speicher Kosten'!$B21:$B33)/2</f>
        <v>0</v>
      </c>
      <c r="K13" s="150">
        <f>SUMPRODUCT(Projekte!L15:L27,'Speicher Kosten'!$B21:$B33)/2</f>
        <v>0</v>
      </c>
      <c r="L13" s="150">
        <f>SUMPRODUCT(Projekte!M15:M27,'Speicher Kosten'!$B21:$B33)/2</f>
        <v>0</v>
      </c>
      <c r="M13" s="150">
        <f>SUMPRODUCT(Projekte!N15:N27,'Speicher Kosten'!$B21:$B33)/2</f>
        <v>0</v>
      </c>
      <c r="N13" s="150">
        <f>SUMPRODUCT(Projekte!O15:O27,'Speicher Kosten'!$B21:$B33)/2</f>
        <v>0</v>
      </c>
      <c r="O13" s="150">
        <f>SUMPRODUCT(Projekte!P15:P27,'Speicher Kosten'!$B21:$B33)/2</f>
        <v>0</v>
      </c>
      <c r="P13" s="150">
        <f>SUMPRODUCT(Projekte!Q15:Q27,'Speicher Kosten'!$B21:$B33)/2</f>
        <v>0</v>
      </c>
      <c r="Q13" s="150">
        <f>SUMPRODUCT(Projekte!R15:R27,'Speicher Kosten'!$B21:$B33)/2</f>
        <v>0</v>
      </c>
      <c r="R13" s="150">
        <f>SUMPRODUCT(Projekte!S15:S27,'Speicher Kosten'!$B21:$B33)/2</f>
        <v>0</v>
      </c>
      <c r="S13" s="150">
        <f>SUMPRODUCT(Projekte!T15:T27,'Speicher Kosten'!$B21:$B33)/2</f>
        <v>0</v>
      </c>
      <c r="T13" s="150">
        <f>SUMPRODUCT(Projekte!U15:U27,'Speicher Kosten'!$B21:$B33)/2</f>
        <v>0</v>
      </c>
      <c r="U13" s="150">
        <f>SUMPRODUCT(Projekte!V15:V27,'Speicher Kosten'!$B21:$B33)/2</f>
        <v>0</v>
      </c>
      <c r="V13" s="150">
        <f>SUMPRODUCT(Projekte!W15:W27,'Speicher Kosten'!$B21:$B33)/2</f>
        <v>0</v>
      </c>
      <c r="W13" s="150">
        <f>SUMPRODUCT(Projekte!X15:X27,'Speicher Kosten'!$B21:$B33)/2</f>
        <v>0</v>
      </c>
      <c r="X13" s="150">
        <f>SUMPRODUCT(Projekte!Y15:Y27,'Speicher Kosten'!$B21:$B33)/2</f>
        <v>0</v>
      </c>
      <c r="Y13" s="150">
        <f>SUMPRODUCT(Projekte!Z15:Z27,'Speicher Kosten'!$B21:$B33)/2</f>
        <v>0</v>
      </c>
      <c r="Z13" s="150">
        <f>SUMPRODUCT(Projekte!AA15:AA27,'Speicher Kosten'!$B21:$B33)/2</f>
        <v>0</v>
      </c>
      <c r="AA13" s="150">
        <f>SUMPRODUCT(Projekte!AB15:AB27,'Speicher Kosten'!$B21:$B33)/2</f>
        <v>0</v>
      </c>
      <c r="AB13" s="150">
        <f>SUMPRODUCT(Projekte!AC15:AC27,'Speicher Kosten'!$B21:$B33)/2</f>
        <v>0</v>
      </c>
      <c r="AC13" s="150">
        <f>SUMPRODUCT(Projekte!AD15:AD27,'Speicher Kosten'!$B21:$B33)/2</f>
        <v>0</v>
      </c>
      <c r="AD13" s="150">
        <f>SUMPRODUCT(Projekte!AE15:AE27,'Speicher Kosten'!$B21:$B33)/2</f>
        <v>0</v>
      </c>
      <c r="AE13" s="150">
        <f>SUMPRODUCT(Projekte!AF15:AF27,'Speicher Kosten'!$B21:$B33)/2</f>
        <v>0</v>
      </c>
      <c r="AF13" s="150">
        <f>SUMPRODUCT(Projekte!AG15:AG27,'Speicher Kosten'!$B21:$B33)/2</f>
        <v>0</v>
      </c>
      <c r="AG13" s="150">
        <f>SUMPRODUCT(Projekte!AH15:AH27,'Speicher Kosten'!$B21:$B33)/2</f>
        <v>0</v>
      </c>
      <c r="AH13" s="150">
        <f>SUMPRODUCT(Projekte!AI15:AI27,'Speicher Kosten'!$B21:$B33)/2</f>
        <v>0</v>
      </c>
      <c r="AI13" s="150">
        <f>SUMPRODUCT(Projekte!AJ15:AJ27,'Speicher Kosten'!$B21:$B33)/2</f>
        <v>0</v>
      </c>
      <c r="AJ13" s="150">
        <f>SUMPRODUCT(Projekte!AK15:AK27,'Speicher Kosten'!$B21:$B33)/2</f>
        <v>0</v>
      </c>
      <c r="AK13" s="150">
        <f>SUMPRODUCT(Projekte!AL15:AL27,'Speicher Kosten'!$B21:$B33)/2</f>
        <v>0</v>
      </c>
      <c r="AL13" s="150">
        <f>SUMPRODUCT(Projekte!AM15:AM27,'Speicher Kosten'!$B21:$B33)/2</f>
        <v>0</v>
      </c>
      <c r="AM13" s="150">
        <f>SUMPRODUCT(Projekte!AN15:AN27,'Speicher Kosten'!$B21:$B33)/2</f>
        <v>0</v>
      </c>
      <c r="AN13" s="150">
        <f>SUMPRODUCT(Projekte!AO15:AO27,'Speicher Kosten'!$B21:$B33)/2</f>
        <v>0</v>
      </c>
      <c r="AO13" s="150">
        <f>SUMPRODUCT(Projekte!AP15:AP27,'Speicher Kosten'!$B21:$B33)/2</f>
        <v>0</v>
      </c>
      <c r="AP13" s="150">
        <f>SUMPRODUCT(Projekte!AQ15:AQ27,'Speicher Kosten'!$B21:$B33)/2</f>
        <v>0</v>
      </c>
      <c r="AQ13" s="150">
        <f>SUMPRODUCT(Projekte!AR15:AR27,'Speicher Kosten'!$B21:$B33)/2</f>
        <v>0</v>
      </c>
      <c r="AR13" s="150">
        <f>SUMPRODUCT(Projekte!AS15:AS27,'Speicher Kosten'!$B21:$B33)/2</f>
        <v>0</v>
      </c>
      <c r="AS13" s="150">
        <f>SUMPRODUCT(Projekte!AT15:AT27,'Speicher Kosten'!$B21:$B33)/2</f>
        <v>0</v>
      </c>
      <c r="AT13" s="150">
        <f>SUMPRODUCT(Projekte!AU15:AU27,'Speicher Kosten'!$B21:$B33)/2</f>
        <v>0</v>
      </c>
      <c r="AU13" s="150">
        <f>SUMPRODUCT(Projekte!AV15:AV27,'Speicher Kosten'!$B21:$B33)/2</f>
        <v>0</v>
      </c>
      <c r="AV13" s="150">
        <f>SUMPRODUCT(Projekte!AW15:AW27,'Speicher Kosten'!$B21:$B33)/2</f>
        <v>0</v>
      </c>
      <c r="AW13" s="150">
        <f>SUMPRODUCT(Projekte!AX15:AX27,'Speicher Kosten'!$B21:$B33)/2</f>
        <v>0</v>
      </c>
      <c r="AX13" s="150">
        <f>SUMPRODUCT(Projekte!AY15:AY27,'Speicher Kosten'!$B21:$B33)/2</f>
        <v>0</v>
      </c>
      <c r="AY13" s="150">
        <f>SUMPRODUCT(Projekte!AZ15:AZ27,'Speicher Kosten'!$B21:$B33)/2</f>
        <v>0</v>
      </c>
      <c r="AZ13" s="150">
        <f>SUMPRODUCT(Projekte!BA15:BA27,'Speicher Kosten'!$B21:$B33)/2</f>
        <v>0</v>
      </c>
      <c r="BA13" s="150">
        <f>SUMPRODUCT(Projekte!BB15:BB27,'Speicher Kosten'!$B21:$B33)/2</f>
        <v>0</v>
      </c>
      <c r="BB13" s="150">
        <f>SUMPRODUCT(Projekte!BC15:BC27,'Speicher Kosten'!$B21:$B33)/2</f>
        <v>0</v>
      </c>
      <c r="BC13" s="150">
        <f>SUMPRODUCT(Projekte!BD15:BD27,'Speicher Kosten'!$B21:$B33)/2</f>
        <v>0</v>
      </c>
      <c r="BD13" s="150">
        <f>SUMPRODUCT(Projekte!BE15:BE27,'Speicher Kosten'!$B21:$B33)/2</f>
        <v>0</v>
      </c>
      <c r="BE13" s="150">
        <f>SUMPRODUCT(Projekte!BF15:BF27,'Speicher Kosten'!$B21:$B33)/2</f>
        <v>0</v>
      </c>
    </row>
    <row r="14" spans="1:57" x14ac:dyDescent="0.25">
      <c r="A14" s="159" t="s">
        <v>491</v>
      </c>
      <c r="B14" s="151">
        <f>Projekte!C30*'Resource Management'!$D$9+Projekte!C31*'Resource Management'!$D$10+Projekte!C29*'Resource Management'!$D$8+(Projekte!C29/4000*'Resource Management'!$D$11)</f>
        <v>0</v>
      </c>
      <c r="C14" s="151">
        <f>Projekte!D30*'Resource Management'!$D$9+Projekte!D31*'Resource Management'!$D$10+Projekte!D29*'Resource Management'!$D$8+(Projekte!D29/4000*'Resource Management'!$D$11)</f>
        <v>0</v>
      </c>
      <c r="D14" s="151">
        <f>Projekte!E30*'Resource Management'!$D$9+Projekte!E31*'Resource Management'!$D$10+Projekte!E29*'Resource Management'!$D$8+(Projekte!E29/4000*'Resource Management'!$D$11)</f>
        <v>50300</v>
      </c>
      <c r="E14" s="151">
        <f>Projekte!F30*'Resource Management'!$D$9+Projekte!F31*'Resource Management'!$D$10+Projekte!F29*'Resource Management'!$D$8+(Projekte!F29/4000*'Resource Management'!$D$11)</f>
        <v>0</v>
      </c>
      <c r="F14" s="151">
        <f>Projekte!G30*'Resource Management'!$D$9+Projekte!G31*'Resource Management'!$D$10+Projekte!G29*'Resource Management'!$D$8+(Projekte!G29/4000*'Resource Management'!$D$11)</f>
        <v>0</v>
      </c>
      <c r="G14" s="151">
        <f>Projekte!H30*'Resource Management'!$D$9+Projekte!H31*'Resource Management'!$D$10+Projekte!H29*'Resource Management'!$D$8+(Projekte!H29/4000*'Resource Management'!$D$11)</f>
        <v>0</v>
      </c>
      <c r="H14" s="151">
        <f>Projekte!I30*'Resource Management'!$D$9+Projekte!I31*'Resource Management'!$D$10+Projekte!I29*'Resource Management'!$D$8+(Projekte!I29/4000*'Resource Management'!$D$11)</f>
        <v>0</v>
      </c>
      <c r="I14" s="151">
        <f>Projekte!J30*'Resource Management'!$D$9+Projekte!J31*'Resource Management'!$D$10+Projekte!J29*'Resource Management'!$D$8+(Projekte!J29/4000*'Resource Management'!$D$11)</f>
        <v>50300</v>
      </c>
      <c r="J14" s="151">
        <f>Projekte!K30*'Resource Management'!$D$9+Projekte!K31*'Resource Management'!$D$10+Projekte!K29*'Resource Management'!$D$8+(Projekte!K29/4000*'Resource Management'!$D$11)</f>
        <v>50300</v>
      </c>
      <c r="K14" s="151">
        <f>Projekte!L30*'Resource Management'!$D$9+Projekte!L31*'Resource Management'!$D$10+Projekte!L29*'Resource Management'!$D$8+(Projekte!L29/4000*'Resource Management'!$D$11)</f>
        <v>10900</v>
      </c>
      <c r="L14" s="151">
        <f>Projekte!M30*'Resource Management'!$D$9+Projekte!M31*'Resource Management'!$D$10+Projekte!M29*'Resource Management'!$D$8+(Projekte!M29/4000*'Resource Management'!$D$11)</f>
        <v>45750</v>
      </c>
      <c r="M14" s="151">
        <f>Projekte!N30*'Resource Management'!$D$9+Projekte!N31*'Resource Management'!$D$10+Projekte!N29*'Resource Management'!$D$8+(Projekte!N29/4000*'Resource Management'!$D$11)</f>
        <v>90300</v>
      </c>
      <c r="N14" s="151">
        <f>Projekte!O30*'Resource Management'!$D$9+Projekte!O31*'Resource Management'!$D$10+Projekte!O29*'Resource Management'!$D$8+(Projekte!O29/4000*'Resource Management'!$D$11)</f>
        <v>0</v>
      </c>
      <c r="O14" s="151">
        <f>Projekte!P30*'Resource Management'!$D$9+Projekte!P31*'Resource Management'!$D$10+Projekte!P29*'Resource Management'!$D$8+(Projekte!P29/4000*'Resource Management'!$D$11)</f>
        <v>0</v>
      </c>
      <c r="P14" s="151">
        <f>Projekte!Q30*'Resource Management'!$D$9+Projekte!Q31*'Resource Management'!$D$10+Projekte!Q29*'Resource Management'!$D$8+(Projekte!Q29/4000*'Resource Management'!$D$11)</f>
        <v>0</v>
      </c>
      <c r="Q14" s="151">
        <f>Projekte!R30*'Resource Management'!$D$9+Projekte!R31*'Resource Management'!$D$10+Projekte!R29*'Resource Management'!$D$8+(Projekte!R29/4000*'Resource Management'!$D$11)</f>
        <v>0</v>
      </c>
      <c r="R14" s="151">
        <f>Projekte!S30*'Resource Management'!$D$9+Projekte!S31*'Resource Management'!$D$10+Projekte!S29*'Resource Management'!$D$8+(Projekte!S29/4000*'Resource Management'!$D$11)</f>
        <v>0</v>
      </c>
      <c r="S14" s="151">
        <f>Projekte!T30*'Resource Management'!$D$9+Projekte!T31*'Resource Management'!$D$10+Projekte!T29*'Resource Management'!$D$8+(Projekte!T29/4000*'Resource Management'!$D$11)</f>
        <v>80000</v>
      </c>
      <c r="T14" s="151">
        <f>Projekte!U30*'Resource Management'!$D$9+Projekte!U31*'Resource Management'!$D$10+Projekte!U29*'Resource Management'!$D$8+(Projekte!U29/4000*'Resource Management'!$D$11)</f>
        <v>0</v>
      </c>
      <c r="U14" s="151">
        <f>Projekte!V30*'Resource Management'!$D$9+Projekte!V31*'Resource Management'!$D$10+Projekte!V29*'Resource Management'!$D$8+(Projekte!V29/4000*'Resource Management'!$D$11)</f>
        <v>0</v>
      </c>
      <c r="V14" s="151">
        <f>Projekte!W30*'Resource Management'!$D$9+Projekte!W31*'Resource Management'!$D$10+Projekte!W29*'Resource Management'!$D$8+(Projekte!W29/4000*'Resource Management'!$D$11)</f>
        <v>0</v>
      </c>
      <c r="W14" s="151">
        <f>Projekte!X30*'Resource Management'!$D$9+Projekte!X31*'Resource Management'!$D$10+Projekte!X29*'Resource Management'!$D$8+(Projekte!X29/4000*'Resource Management'!$D$11)</f>
        <v>0</v>
      </c>
      <c r="X14" s="151">
        <f>Projekte!Y30*'Resource Management'!$D$9+Projekte!Y31*'Resource Management'!$D$10+Projekte!Y29*'Resource Management'!$D$8+(Projekte!Y29/4000*'Resource Management'!$D$11)</f>
        <v>0</v>
      </c>
      <c r="Y14" s="151">
        <f>Projekte!Z30*'Resource Management'!$D$9+Projekte!Z31*'Resource Management'!$D$10+Projekte!Z29*'Resource Management'!$D$8+(Projekte!Z29/4000*'Resource Management'!$D$11)</f>
        <v>0</v>
      </c>
      <c r="Z14" s="151">
        <f>Projekte!AA30*'Resource Management'!$D$9+Projekte!AA31*'Resource Management'!$D$10+Projekte!AA29*'Resource Management'!$D$8+(Projekte!AA29/4000*'Resource Management'!$D$11)</f>
        <v>0</v>
      </c>
      <c r="AA14" s="151">
        <f>Projekte!AB30*'Resource Management'!$D$9+Projekte!AB31*'Resource Management'!$D$10+Projekte!AB29*'Resource Management'!$D$8+(Projekte!AB29/4000*'Resource Management'!$D$11)</f>
        <v>610.29999999999995</v>
      </c>
      <c r="AB14" s="151">
        <f>Projekte!AC30*'Resource Management'!$D$9+Projekte!AC31*'Resource Management'!$D$10+Projekte!AC29*'Resource Management'!$D$8+(Projekte!AC29/4000*'Resource Management'!$D$11)</f>
        <v>0</v>
      </c>
      <c r="AC14" s="151">
        <f>Projekte!AD30*'Resource Management'!$D$9+Projekte!AD31*'Resource Management'!$D$10+Projekte!AD29*'Resource Management'!$D$8+(Projekte!AD29/4000*'Resource Management'!$D$11)</f>
        <v>0</v>
      </c>
      <c r="AD14" s="151">
        <f>Projekte!AE30*'Resource Management'!$D$9+Projekte!AE31*'Resource Management'!$D$10+Projekte!AE29*'Resource Management'!$D$8+(Projekte!AE29/4000*'Resource Management'!$D$11)</f>
        <v>0</v>
      </c>
      <c r="AE14" s="151">
        <f>Projekte!AF30*'Resource Management'!$D$9+Projekte!AF31*'Resource Management'!$D$10+Projekte!AF29*'Resource Management'!$D$8+(Projekte!AF29/4000*'Resource Management'!$D$11)</f>
        <v>40010.300000000003</v>
      </c>
      <c r="AF14" s="151">
        <f>Projekte!AG30*'Resource Management'!$D$9+Projekte!AG31*'Resource Management'!$D$10+Projekte!AG29*'Resource Management'!$D$8+(Projekte!AG29/4000*'Resource Management'!$D$11)</f>
        <v>43600</v>
      </c>
      <c r="AG14" s="151">
        <f>Projekte!AH30*'Resource Management'!$D$9+Projekte!AH31*'Resource Management'!$D$10+Projekte!AH29*'Resource Management'!$D$8+(Projekte!AH29/4000*'Resource Management'!$D$11)</f>
        <v>40010.300000000003</v>
      </c>
      <c r="AH14" s="151">
        <f>Projekte!AI30*'Resource Management'!$D$9+Projekte!AI31*'Resource Management'!$D$10+Projekte!AI29*'Resource Management'!$D$8+(Projekte!AI29/4000*'Resource Management'!$D$11)</f>
        <v>80041.2</v>
      </c>
      <c r="AI14" s="151">
        <f>Projekte!AJ30*'Resource Management'!$D$9+Projekte!AJ31*'Resource Management'!$D$10+Projekte!AJ29*'Resource Management'!$D$8+(Projekte!AJ29/4000*'Resource Management'!$D$11)</f>
        <v>5205.1499999999996</v>
      </c>
      <c r="AJ14" s="151">
        <f>Projekte!AK30*'Resource Management'!$D$9+Projekte!AK31*'Resource Management'!$D$10+Projekte!AK29*'Resource Management'!$D$8+(Projekte!AK29/4000*'Resource Management'!$D$11)</f>
        <v>0</v>
      </c>
      <c r="AK14" s="151">
        <f>Projekte!AL30*'Resource Management'!$D$9+Projekte!AL31*'Resource Management'!$D$10+Projekte!AL29*'Resource Management'!$D$8+(Projekte!AL29/4000*'Resource Management'!$D$11)</f>
        <v>0</v>
      </c>
      <c r="AL14" s="151">
        <f>Projekte!AM30*'Resource Management'!$D$9+Projekte!AM31*'Resource Management'!$D$10+Projekte!AM29*'Resource Management'!$D$8+(Projekte!AM29/4000*'Resource Management'!$D$11)</f>
        <v>17210.3</v>
      </c>
      <c r="AM14" s="151">
        <f>Projekte!AN30*'Resource Management'!$D$9+Projekte!AN31*'Resource Management'!$D$10+Projekte!AN29*'Resource Management'!$D$8+(Projekte!AN29/4000*'Resource Management'!$D$11)</f>
        <v>17210.3</v>
      </c>
      <c r="AN14" s="151">
        <f>Projekte!AO30*'Resource Management'!$D$9+Projekte!AO31*'Resource Management'!$D$10+Projekte!AO29*'Resource Management'!$D$8+(Projekte!AO29/4000*'Resource Management'!$D$11)</f>
        <v>0</v>
      </c>
      <c r="AO14" s="151">
        <f>Projekte!AP30*'Resource Management'!$D$9+Projekte!AP31*'Resource Management'!$D$10+Projekte!AP29*'Resource Management'!$D$8+(Projekte!AP29/4000*'Resource Management'!$D$11)</f>
        <v>0</v>
      </c>
      <c r="AP14" s="151">
        <f>Projekte!AQ30*'Resource Management'!$D$9+Projekte!AQ31*'Resource Management'!$D$10+Projekte!AQ29*'Resource Management'!$D$8+(Projekte!AQ29/4000*'Resource Management'!$D$11)</f>
        <v>41200</v>
      </c>
      <c r="AQ14" s="151">
        <f>Projekte!AR30*'Resource Management'!$D$9+Projekte!AR31*'Resource Management'!$D$10+Projekte!AR29*'Resource Management'!$D$8+(Projekte!AR29/4000*'Resource Management'!$D$11)</f>
        <v>0</v>
      </c>
      <c r="AR14" s="151">
        <f>Projekte!AS30*'Resource Management'!$D$9+Projekte!AS31*'Resource Management'!$D$10+Projekte!AS29*'Resource Management'!$D$8+(Projekte!AS29/4000*'Resource Management'!$D$11)</f>
        <v>0</v>
      </c>
      <c r="AS14" s="151">
        <f>Projekte!AT30*'Resource Management'!$D$9+Projekte!AT31*'Resource Management'!$D$10+Projekte!AT29*'Resource Management'!$D$8+(Projekte!AT29/4000*'Resource Management'!$D$11)</f>
        <v>41210.300000000003</v>
      </c>
      <c r="AT14" s="151">
        <f>Projekte!AU30*'Resource Management'!$D$9+Projekte!AU31*'Resource Management'!$D$10+Projekte!AU29*'Resource Management'!$D$8+(Projekte!AU29/4000*'Resource Management'!$D$11)</f>
        <v>0</v>
      </c>
      <c r="AU14" s="151">
        <f>Projekte!AV30*'Resource Management'!$D$9+Projekte!AV31*'Resource Management'!$D$10+Projekte!AV29*'Resource Management'!$D$8+(Projekte!AV29/4000*'Resource Management'!$D$11)</f>
        <v>0</v>
      </c>
      <c r="AV14" s="151">
        <f>Projekte!AW30*'Resource Management'!$D$9+Projekte!AW31*'Resource Management'!$D$10+Projekte!AW29*'Resource Management'!$D$8+(Projekte!AW29/4000*'Resource Management'!$D$11)</f>
        <v>16010.3</v>
      </c>
      <c r="AW14" s="151">
        <f>Projekte!AX30*'Resource Management'!$D$9+Projekte!AX31*'Resource Management'!$D$10+Projekte!AX29*'Resource Management'!$D$8+(Projekte!AX29/4000*'Resource Management'!$D$11)</f>
        <v>0</v>
      </c>
      <c r="AX14" s="151">
        <f>Projekte!AY30*'Resource Management'!$D$9+Projekte!AY31*'Resource Management'!$D$10+Projekte!AY29*'Resource Management'!$D$8+(Projekte!AY29/4000*'Resource Management'!$D$11)</f>
        <v>0</v>
      </c>
      <c r="AY14" s="151">
        <f>Projekte!AZ30*'Resource Management'!$D$9+Projekte!AZ31*'Resource Management'!$D$10+Projekte!AZ29*'Resource Management'!$D$8+(Projekte!AZ29/4000*'Resource Management'!$D$11)</f>
        <v>0</v>
      </c>
      <c r="AZ14" s="151">
        <f>Projekte!BA30*'Resource Management'!$D$9+Projekte!BA31*'Resource Management'!$D$10+Projekte!BA29*'Resource Management'!$D$8+(Projekte!BA29/4000*'Resource Management'!$D$11)</f>
        <v>0</v>
      </c>
      <c r="BA14" s="151">
        <f>Projekte!BB30*'Resource Management'!$D$9+Projekte!BB31*'Resource Management'!$D$10+Projekte!BB29*'Resource Management'!$D$8+(Projekte!BB29/4000*'Resource Management'!$D$11)</f>
        <v>0</v>
      </c>
      <c r="BB14" s="151">
        <f>Projekte!BC30*'Resource Management'!$D$9+Projekte!BC31*'Resource Management'!$D$10+Projekte!BC29*'Resource Management'!$D$8+(Projekte!BC29/4000*'Resource Management'!$D$11)</f>
        <v>80010.3</v>
      </c>
      <c r="BC14" s="151">
        <f>Projekte!BD30*'Resource Management'!$D$9+Projekte!BD31*'Resource Management'!$D$10+Projekte!BD29*'Resource Management'!$D$8+(Projekte!BD29/4000*'Resource Management'!$D$11)</f>
        <v>80010.3</v>
      </c>
      <c r="BD14" s="151">
        <f>Projekte!BE30*'Resource Management'!$D$9+Projekte!BE31*'Resource Management'!$D$10+Projekte!BE29*'Resource Management'!$D$8+(Projekte!BE29/4000*'Resource Management'!$D$11)</f>
        <v>40010.300000000003</v>
      </c>
      <c r="BE14" s="151">
        <f>Projekte!BF30*'Resource Management'!$D$9+Projekte!BF31*'Resource Management'!$D$10+Projekte!BF29*'Resource Management'!$D$8+(Projekte!BF29/4000*'Resource Management'!$D$11)</f>
        <v>0</v>
      </c>
    </row>
    <row r="15" spans="1:57" x14ac:dyDescent="0.25">
      <c r="A15" s="159" t="s">
        <v>492</v>
      </c>
      <c r="B15" s="151">
        <f>B14+B13+B8</f>
        <v>1627500</v>
      </c>
      <c r="C15" s="151">
        <f t="shared" ref="C15:F15" si="41">C14+C13+C8</f>
        <v>1807500</v>
      </c>
      <c r="D15" s="151">
        <f t="shared" si="41"/>
        <v>1689800</v>
      </c>
      <c r="E15" s="151">
        <f t="shared" si="41"/>
        <v>939500</v>
      </c>
      <c r="F15" s="151">
        <f t="shared" si="41"/>
        <v>1765000</v>
      </c>
      <c r="G15" s="151">
        <f t="shared" ref="G15" si="42">G14+G13+G8</f>
        <v>3455000</v>
      </c>
      <c r="H15" s="151">
        <f t="shared" ref="H15" si="43">H14+H13+H8</f>
        <v>1900000</v>
      </c>
      <c r="I15" s="151">
        <f t="shared" ref="I15:J15" si="44">I14+I13+I8</f>
        <v>2541300</v>
      </c>
      <c r="J15" s="151">
        <f t="shared" si="44"/>
        <v>2151800</v>
      </c>
      <c r="K15" s="151">
        <f t="shared" ref="K15" si="45">K14+K13+K8</f>
        <v>721200</v>
      </c>
      <c r="L15" s="151">
        <f t="shared" ref="L15" si="46">L14+L13+L8</f>
        <v>1083550</v>
      </c>
      <c r="M15" s="151">
        <f t="shared" ref="M15:N15" si="47">M14+M13+M8</f>
        <v>3188300</v>
      </c>
      <c r="N15" s="151">
        <f t="shared" si="47"/>
        <v>120000</v>
      </c>
      <c r="O15" s="151">
        <f t="shared" ref="O15" si="48">O14+O13+O8</f>
        <v>120000</v>
      </c>
      <c r="P15" s="151">
        <f t="shared" ref="P15" si="49">P14+P13+P8</f>
        <v>120000</v>
      </c>
      <c r="Q15" s="151">
        <f t="shared" ref="Q15:R15" si="50">Q14+Q13+Q8</f>
        <v>120000</v>
      </c>
      <c r="R15" s="151">
        <f t="shared" si="50"/>
        <v>120000</v>
      </c>
      <c r="S15" s="151">
        <f t="shared" ref="S15" si="51">S14+S13+S8</f>
        <v>927500</v>
      </c>
      <c r="T15" s="151">
        <f t="shared" ref="T15" si="52">T14+T13+T8</f>
        <v>1005000</v>
      </c>
      <c r="U15" s="151">
        <f t="shared" ref="U15:V15" si="53">U14+U13+U8</f>
        <v>1022500</v>
      </c>
      <c r="V15" s="151">
        <f t="shared" si="53"/>
        <v>120000</v>
      </c>
      <c r="W15" s="151">
        <f t="shared" ref="W15" si="54">W14+W13+W8</f>
        <v>2077500</v>
      </c>
      <c r="X15" s="151">
        <f t="shared" ref="X15" si="55">X14+X13+X8</f>
        <v>1627500</v>
      </c>
      <c r="Y15" s="151">
        <f t="shared" ref="Y15:Z15" si="56">Y14+Y13+Y8</f>
        <v>2667500</v>
      </c>
      <c r="Z15" s="151">
        <f t="shared" si="56"/>
        <v>978250</v>
      </c>
      <c r="AA15" s="151">
        <f t="shared" ref="AA15" si="57">AA14+AA13+AA8</f>
        <v>590910.30000000005</v>
      </c>
      <c r="AB15" s="151">
        <f t="shared" ref="AB15" si="58">AB14+AB13+AB8</f>
        <v>1357500</v>
      </c>
      <c r="AC15" s="151">
        <f t="shared" ref="AC15:AD15" si="59">AC14+AC13+AC8</f>
        <v>120000</v>
      </c>
      <c r="AD15" s="151">
        <f t="shared" si="59"/>
        <v>1847000</v>
      </c>
      <c r="AE15" s="151">
        <f t="shared" ref="AE15" si="60">AE14+AE13+AE8</f>
        <v>1634010.3</v>
      </c>
      <c r="AF15" s="151">
        <f t="shared" ref="AF15" si="61">AF14+AF13+AF8</f>
        <v>1736900</v>
      </c>
      <c r="AG15" s="151">
        <f t="shared" ref="AG15:AH15" si="62">AG14+AG13+AG8</f>
        <v>927010.3</v>
      </c>
      <c r="AH15" s="151">
        <f t="shared" si="62"/>
        <v>3401041.2</v>
      </c>
      <c r="AI15" s="151">
        <f t="shared" ref="AI15" si="63">AI14+AI13+AI8</f>
        <v>2135305.15</v>
      </c>
      <c r="AJ15" s="151">
        <f t="shared" ref="AJ15" si="64">AJ14+AJ13+AJ8</f>
        <v>120000</v>
      </c>
      <c r="AK15" s="151">
        <f t="shared" ref="AK15:AL15" si="65">AK14+AK13+AK8</f>
        <v>1065000</v>
      </c>
      <c r="AL15" s="151">
        <f t="shared" si="65"/>
        <v>1125310.3</v>
      </c>
      <c r="AM15" s="151">
        <f t="shared" ref="AM15" si="66">AM14+AM13+AM8</f>
        <v>1917810.3</v>
      </c>
      <c r="AN15" s="151">
        <f t="shared" ref="AN15" si="67">AN14+AN13+AN8</f>
        <v>870000</v>
      </c>
      <c r="AO15" s="151">
        <f t="shared" ref="AO15:AP15" si="68">AO14+AO13+AO8</f>
        <v>120000</v>
      </c>
      <c r="AP15" s="151">
        <f t="shared" si="68"/>
        <v>2095800</v>
      </c>
      <c r="AQ15" s="151">
        <f t="shared" ref="AQ15" si="69">AQ14+AQ13+AQ8</f>
        <v>507500</v>
      </c>
      <c r="AR15" s="151">
        <f t="shared" ref="AR15" si="70">AR14+AR13+AR8</f>
        <v>1372500</v>
      </c>
      <c r="AS15" s="151">
        <f t="shared" ref="AS15:AT15" si="71">AS14+AS13+AS8</f>
        <v>2428810.2999999998</v>
      </c>
      <c r="AT15" s="151">
        <f t="shared" si="71"/>
        <v>120000</v>
      </c>
      <c r="AU15" s="151">
        <f t="shared" ref="AU15" si="72">AU14+AU13+AU8</f>
        <v>120000</v>
      </c>
      <c r="AV15" s="151">
        <f t="shared" ref="AV15" si="73">AV14+AV13+AV8</f>
        <v>848510.3</v>
      </c>
      <c r="AW15" s="151">
        <f t="shared" ref="AW15:AX15" si="74">AW14+AW13+AW8</f>
        <v>1353750</v>
      </c>
      <c r="AX15" s="151">
        <f t="shared" si="74"/>
        <v>2995000</v>
      </c>
      <c r="AY15" s="151">
        <f t="shared" ref="AY15" si="75">AY14+AY13+AY8</f>
        <v>2335000</v>
      </c>
      <c r="AZ15" s="151">
        <f t="shared" ref="AZ15" si="76">AZ14+AZ13+AZ8</f>
        <v>2485000</v>
      </c>
      <c r="BA15" s="151">
        <f t="shared" ref="BA15:BB15" si="77">BA14+BA13+BA8</f>
        <v>2777500</v>
      </c>
      <c r="BB15" s="151">
        <f t="shared" si="77"/>
        <v>3446010.3</v>
      </c>
      <c r="BC15" s="151">
        <f t="shared" ref="BC15" si="78">BC14+BC13+BC8</f>
        <v>4048010.3</v>
      </c>
      <c r="BD15" s="151">
        <f t="shared" ref="BD15" si="79">BD14+BD13+BD8</f>
        <v>3534010.3</v>
      </c>
      <c r="BE15" s="151">
        <f t="shared" ref="BE15" si="80">BE14+BE13+BE8</f>
        <v>120000</v>
      </c>
    </row>
    <row r="16" spans="1:57" x14ac:dyDescent="0.25">
      <c r="A16" s="159" t="s">
        <v>493</v>
      </c>
      <c r="B16" s="27">
        <f>B9*3+B10+B11+B12</f>
        <v>6</v>
      </c>
      <c r="C16" s="27">
        <f t="shared" ref="C16:F16" si="81">C9*3+C10+C11+C12</f>
        <v>6</v>
      </c>
      <c r="D16" s="27">
        <f t="shared" si="81"/>
        <v>7</v>
      </c>
      <c r="E16" s="27">
        <f t="shared" si="81"/>
        <v>5</v>
      </c>
      <c r="F16" s="27">
        <f t="shared" si="81"/>
        <v>14</v>
      </c>
      <c r="G16" s="27">
        <f t="shared" ref="G16:BE16" si="82">G9*3+G10+G11+G12</f>
        <v>5</v>
      </c>
      <c r="H16" s="27">
        <f t="shared" si="82"/>
        <v>6</v>
      </c>
      <c r="I16" s="27">
        <f t="shared" si="82"/>
        <v>11</v>
      </c>
      <c r="J16" s="27">
        <f t="shared" si="82"/>
        <v>10</v>
      </c>
      <c r="K16" s="27">
        <f t="shared" si="82"/>
        <v>3</v>
      </c>
      <c r="L16" s="27">
        <f t="shared" si="82"/>
        <v>3</v>
      </c>
      <c r="M16" s="27">
        <f t="shared" si="82"/>
        <v>4</v>
      </c>
      <c r="N16" s="27">
        <f t="shared" si="82"/>
        <v>9</v>
      </c>
      <c r="O16" s="27">
        <f t="shared" si="82"/>
        <v>4</v>
      </c>
      <c r="P16" s="27">
        <f t="shared" si="82"/>
        <v>7</v>
      </c>
      <c r="Q16" s="27">
        <f t="shared" si="82"/>
        <v>4</v>
      </c>
      <c r="R16" s="27">
        <f t="shared" si="82"/>
        <v>6</v>
      </c>
      <c r="S16" s="27">
        <f t="shared" si="82"/>
        <v>5</v>
      </c>
      <c r="T16" s="27">
        <f t="shared" si="82"/>
        <v>3</v>
      </c>
      <c r="U16" s="27">
        <f t="shared" si="82"/>
        <v>3</v>
      </c>
      <c r="V16" s="27">
        <f t="shared" si="82"/>
        <v>13</v>
      </c>
      <c r="W16" s="27">
        <f t="shared" si="82"/>
        <v>7</v>
      </c>
      <c r="X16" s="27">
        <f t="shared" si="82"/>
        <v>8</v>
      </c>
      <c r="Y16" s="27">
        <f t="shared" si="82"/>
        <v>9</v>
      </c>
      <c r="Z16" s="27">
        <f t="shared" si="82"/>
        <v>3</v>
      </c>
      <c r="AA16" s="27">
        <f t="shared" si="82"/>
        <v>2</v>
      </c>
      <c r="AB16" s="27">
        <f t="shared" si="82"/>
        <v>6</v>
      </c>
      <c r="AC16" s="27">
        <f t="shared" si="82"/>
        <v>14</v>
      </c>
      <c r="AD16" s="27">
        <f t="shared" si="82"/>
        <v>7</v>
      </c>
      <c r="AE16" s="27">
        <f t="shared" si="82"/>
        <v>21</v>
      </c>
      <c r="AF16" s="27">
        <f t="shared" si="82"/>
        <v>11</v>
      </c>
      <c r="AG16" s="27">
        <f t="shared" si="82"/>
        <v>3</v>
      </c>
      <c r="AH16" s="27">
        <f t="shared" si="82"/>
        <v>9</v>
      </c>
      <c r="AI16" s="27">
        <f t="shared" si="82"/>
        <v>15</v>
      </c>
      <c r="AJ16" s="27">
        <f t="shared" si="82"/>
        <v>22</v>
      </c>
      <c r="AK16" s="27">
        <f t="shared" si="82"/>
        <v>0</v>
      </c>
      <c r="AL16" s="27">
        <f t="shared" si="82"/>
        <v>0</v>
      </c>
      <c r="AM16" s="27">
        <f t="shared" si="82"/>
        <v>11</v>
      </c>
      <c r="AN16" s="27">
        <f t="shared" si="82"/>
        <v>5</v>
      </c>
      <c r="AO16" s="27">
        <f t="shared" si="82"/>
        <v>5</v>
      </c>
      <c r="AP16" s="27">
        <f t="shared" si="82"/>
        <v>6</v>
      </c>
      <c r="AQ16" s="27">
        <f t="shared" si="82"/>
        <v>3</v>
      </c>
      <c r="AR16" s="27">
        <f t="shared" si="82"/>
        <v>4</v>
      </c>
      <c r="AS16" s="27">
        <f t="shared" si="82"/>
        <v>14</v>
      </c>
      <c r="AT16" s="27">
        <f t="shared" si="82"/>
        <v>12</v>
      </c>
      <c r="AU16" s="27">
        <f t="shared" si="82"/>
        <v>12</v>
      </c>
      <c r="AV16" s="27">
        <f t="shared" si="82"/>
        <v>5</v>
      </c>
      <c r="AW16" s="27">
        <f t="shared" si="82"/>
        <v>6</v>
      </c>
      <c r="AX16" s="27">
        <f t="shared" si="82"/>
        <v>16</v>
      </c>
      <c r="AY16" s="27">
        <f t="shared" si="82"/>
        <v>0</v>
      </c>
      <c r="AZ16" s="27">
        <f t="shared" si="82"/>
        <v>0</v>
      </c>
      <c r="BA16" s="27">
        <f t="shared" si="82"/>
        <v>12</v>
      </c>
      <c r="BB16" s="27">
        <f t="shared" si="82"/>
        <v>5</v>
      </c>
      <c r="BC16" s="27">
        <f t="shared" si="82"/>
        <v>5</v>
      </c>
      <c r="BD16" s="27">
        <f t="shared" si="82"/>
        <v>5</v>
      </c>
      <c r="BE16" s="27">
        <f t="shared" si="82"/>
        <v>6</v>
      </c>
    </row>
    <row r="17" spans="1:57" x14ac:dyDescent="0.25">
      <c r="A17" s="159" t="s">
        <v>494</v>
      </c>
      <c r="B17" s="152">
        <f>B16/(B15/1000000)</f>
        <v>3.6866359447004609</v>
      </c>
      <c r="C17" s="152">
        <f t="shared" ref="C17:BE17" si="83">C16/(C15/1000000)</f>
        <v>3.3195020746887964</v>
      </c>
      <c r="D17" s="152">
        <f t="shared" si="83"/>
        <v>4.1425020712510356</v>
      </c>
      <c r="E17" s="152">
        <f t="shared" si="83"/>
        <v>5.3219797764768497</v>
      </c>
      <c r="F17" s="152">
        <f t="shared" si="83"/>
        <v>7.9320113314447598</v>
      </c>
      <c r="G17" s="152">
        <f t="shared" si="83"/>
        <v>1.4471780028943559</v>
      </c>
      <c r="H17" s="152">
        <f t="shared" si="83"/>
        <v>3.1578947368421053</v>
      </c>
      <c r="I17" s="152">
        <f t="shared" si="83"/>
        <v>4.3284932908353992</v>
      </c>
      <c r="J17" s="152">
        <f t="shared" si="83"/>
        <v>4.6472720513058832</v>
      </c>
      <c r="K17" s="152">
        <f t="shared" si="83"/>
        <v>4.1597337770382694</v>
      </c>
      <c r="L17" s="152">
        <f t="shared" si="83"/>
        <v>2.7686770338240043</v>
      </c>
      <c r="M17" s="152">
        <f t="shared" si="83"/>
        <v>1.2545870840259701</v>
      </c>
      <c r="N17" s="152">
        <f t="shared" si="83"/>
        <v>75</v>
      </c>
      <c r="O17" s="152">
        <f t="shared" si="83"/>
        <v>33.333333333333336</v>
      </c>
      <c r="P17" s="152">
        <f t="shared" si="83"/>
        <v>58.333333333333336</v>
      </c>
      <c r="Q17" s="152">
        <f t="shared" si="83"/>
        <v>33.333333333333336</v>
      </c>
      <c r="R17" s="152">
        <f t="shared" si="83"/>
        <v>50</v>
      </c>
      <c r="S17" s="152">
        <f t="shared" si="83"/>
        <v>5.3908355795148246</v>
      </c>
      <c r="T17" s="152">
        <f t="shared" si="83"/>
        <v>2.9850746268656718</v>
      </c>
      <c r="U17" s="152">
        <f t="shared" si="83"/>
        <v>2.9339853300733498</v>
      </c>
      <c r="V17" s="152">
        <f t="shared" si="83"/>
        <v>108.33333333333334</v>
      </c>
      <c r="W17" s="152">
        <f t="shared" si="83"/>
        <v>3.3694344163658241</v>
      </c>
      <c r="X17" s="152">
        <f t="shared" si="83"/>
        <v>4.9155145929339481</v>
      </c>
      <c r="Y17" s="152">
        <f t="shared" si="83"/>
        <v>3.3739456419868792</v>
      </c>
      <c r="Z17" s="152">
        <f t="shared" si="83"/>
        <v>3.0667007411193459</v>
      </c>
      <c r="AA17" s="152">
        <f t="shared" si="83"/>
        <v>3.3846084591857681</v>
      </c>
      <c r="AB17" s="152">
        <f t="shared" si="83"/>
        <v>4.4198895027624312</v>
      </c>
      <c r="AC17" s="152">
        <f t="shared" si="83"/>
        <v>116.66666666666667</v>
      </c>
      <c r="AD17" s="152">
        <f t="shared" si="83"/>
        <v>3.7899296155928535</v>
      </c>
      <c r="AE17" s="152">
        <f t="shared" si="83"/>
        <v>12.85181617276219</v>
      </c>
      <c r="AF17" s="152">
        <f t="shared" si="83"/>
        <v>6.3331222292590246</v>
      </c>
      <c r="AG17" s="152">
        <f t="shared" si="83"/>
        <v>3.2362099968037032</v>
      </c>
      <c r="AH17" s="152">
        <f t="shared" si="83"/>
        <v>2.6462484488573672</v>
      </c>
      <c r="AI17" s="152">
        <f t="shared" si="83"/>
        <v>7.0247570938514343</v>
      </c>
      <c r="AJ17" s="152">
        <f t="shared" si="83"/>
        <v>183.33333333333334</v>
      </c>
      <c r="AK17" s="152">
        <f t="shared" si="83"/>
        <v>0</v>
      </c>
      <c r="AL17" s="152">
        <f t="shared" si="83"/>
        <v>0</v>
      </c>
      <c r="AM17" s="152">
        <f t="shared" si="83"/>
        <v>5.7357080624710379</v>
      </c>
      <c r="AN17" s="152">
        <f t="shared" si="83"/>
        <v>5.7471264367816088</v>
      </c>
      <c r="AO17" s="152">
        <f t="shared" si="83"/>
        <v>41.666666666666671</v>
      </c>
      <c r="AP17" s="152">
        <f t="shared" si="83"/>
        <v>2.8628685943315202</v>
      </c>
      <c r="AQ17" s="152">
        <f t="shared" si="83"/>
        <v>5.9113300492610845</v>
      </c>
      <c r="AR17" s="152">
        <f t="shared" si="83"/>
        <v>2.9143897996357011</v>
      </c>
      <c r="AS17" s="152">
        <f t="shared" si="83"/>
        <v>5.764138928429281</v>
      </c>
      <c r="AT17" s="152">
        <f t="shared" si="83"/>
        <v>100</v>
      </c>
      <c r="AU17" s="152">
        <f t="shared" si="83"/>
        <v>100</v>
      </c>
      <c r="AV17" s="152">
        <f t="shared" si="83"/>
        <v>5.8926803834909247</v>
      </c>
      <c r="AW17" s="152">
        <f t="shared" si="83"/>
        <v>4.43213296398892</v>
      </c>
      <c r="AX17" s="152">
        <f t="shared" si="83"/>
        <v>5.342237061769616</v>
      </c>
      <c r="AY17" s="152">
        <f t="shared" si="83"/>
        <v>0</v>
      </c>
      <c r="AZ17" s="152">
        <f t="shared" si="83"/>
        <v>0</v>
      </c>
      <c r="BA17" s="152">
        <f t="shared" si="83"/>
        <v>4.3204320432043204</v>
      </c>
      <c r="BB17" s="152">
        <f t="shared" si="83"/>
        <v>1.4509532951773245</v>
      </c>
      <c r="BC17" s="152">
        <f t="shared" si="83"/>
        <v>1.2351747227520642</v>
      </c>
      <c r="BD17" s="152">
        <f t="shared" si="83"/>
        <v>1.4148232674930235</v>
      </c>
      <c r="BE17" s="152">
        <f t="shared" si="83"/>
        <v>50</v>
      </c>
    </row>
    <row r="18" spans="1:57" x14ac:dyDescent="0.25">
      <c r="A18" s="159" t="s">
        <v>552</v>
      </c>
      <c r="B18" s="154">
        <f t="shared" ref="B18:AG18" si="84">IF(B17=0,"",HLOOKUP(B17,21:22,2,FALSE))</f>
        <v>34</v>
      </c>
      <c r="C18" s="154">
        <f t="shared" si="84"/>
        <v>38</v>
      </c>
      <c r="D18" s="154">
        <f t="shared" si="84"/>
        <v>32</v>
      </c>
      <c r="E18" s="154">
        <f t="shared" si="84"/>
        <v>24</v>
      </c>
      <c r="F18" s="154">
        <f t="shared" si="84"/>
        <v>14</v>
      </c>
      <c r="G18" s="154">
        <f t="shared" si="84"/>
        <v>49</v>
      </c>
      <c r="H18" s="154">
        <f t="shared" si="84"/>
        <v>40</v>
      </c>
      <c r="I18" s="154">
        <f t="shared" si="84"/>
        <v>29</v>
      </c>
      <c r="J18" s="154">
        <f t="shared" si="84"/>
        <v>26</v>
      </c>
      <c r="K18" s="154">
        <f t="shared" si="84"/>
        <v>31</v>
      </c>
      <c r="L18" s="154">
        <f t="shared" si="84"/>
        <v>46</v>
      </c>
      <c r="M18" s="154">
        <f t="shared" si="84"/>
        <v>51</v>
      </c>
      <c r="N18" s="154">
        <f t="shared" si="84"/>
        <v>6</v>
      </c>
      <c r="O18" s="154">
        <f t="shared" si="84"/>
        <v>11</v>
      </c>
      <c r="P18" s="154">
        <f t="shared" si="84"/>
        <v>7</v>
      </c>
      <c r="Q18" s="154">
        <f t="shared" si="84"/>
        <v>11</v>
      </c>
      <c r="R18" s="154">
        <f t="shared" si="84"/>
        <v>8</v>
      </c>
      <c r="S18" s="154">
        <f t="shared" si="84"/>
        <v>22</v>
      </c>
      <c r="T18" s="154">
        <f t="shared" si="84"/>
        <v>42</v>
      </c>
      <c r="U18" s="154">
        <f t="shared" si="84"/>
        <v>43</v>
      </c>
      <c r="V18" s="154">
        <f t="shared" si="84"/>
        <v>3</v>
      </c>
      <c r="W18" s="154">
        <f t="shared" si="84"/>
        <v>37</v>
      </c>
      <c r="X18" s="154">
        <f t="shared" si="84"/>
        <v>25</v>
      </c>
      <c r="Y18" s="154">
        <f t="shared" si="84"/>
        <v>36</v>
      </c>
      <c r="Z18" s="154">
        <f t="shared" si="84"/>
        <v>41</v>
      </c>
      <c r="AA18" s="154">
        <f t="shared" si="84"/>
        <v>35</v>
      </c>
      <c r="AB18" s="154">
        <f t="shared" si="84"/>
        <v>28</v>
      </c>
      <c r="AC18" s="154">
        <f t="shared" si="84"/>
        <v>2</v>
      </c>
      <c r="AD18" s="154">
        <f t="shared" si="84"/>
        <v>33</v>
      </c>
      <c r="AE18" s="154">
        <f t="shared" si="84"/>
        <v>13</v>
      </c>
      <c r="AF18" s="154">
        <f t="shared" si="84"/>
        <v>16</v>
      </c>
      <c r="AG18" s="154">
        <f t="shared" si="84"/>
        <v>39</v>
      </c>
      <c r="AH18" s="154">
        <f t="shared" ref="AH18:BE18" si="85">IF(AH17=0,"",HLOOKUP(AH17,21:22,2,FALSE))</f>
        <v>47</v>
      </c>
      <c r="AI18" s="154">
        <f t="shared" si="85"/>
        <v>15</v>
      </c>
      <c r="AJ18" s="154">
        <f t="shared" si="85"/>
        <v>1</v>
      </c>
      <c r="AK18" s="154" t="str">
        <f t="shared" si="85"/>
        <v/>
      </c>
      <c r="AL18" s="154" t="str">
        <f t="shared" si="85"/>
        <v/>
      </c>
      <c r="AM18" s="154">
        <f t="shared" si="85"/>
        <v>21</v>
      </c>
      <c r="AN18" s="154">
        <f t="shared" si="85"/>
        <v>20</v>
      </c>
      <c r="AO18" s="154">
        <f t="shared" si="85"/>
        <v>10</v>
      </c>
      <c r="AP18" s="154">
        <f t="shared" si="85"/>
        <v>45</v>
      </c>
      <c r="AQ18" s="154">
        <f t="shared" si="85"/>
        <v>17</v>
      </c>
      <c r="AR18" s="154">
        <f t="shared" si="85"/>
        <v>44</v>
      </c>
      <c r="AS18" s="154">
        <f t="shared" si="85"/>
        <v>19</v>
      </c>
      <c r="AT18" s="154">
        <f t="shared" si="85"/>
        <v>4</v>
      </c>
      <c r="AU18" s="154">
        <f t="shared" si="85"/>
        <v>4</v>
      </c>
      <c r="AV18" s="154">
        <f t="shared" si="85"/>
        <v>18</v>
      </c>
      <c r="AW18" s="154">
        <f t="shared" si="85"/>
        <v>27</v>
      </c>
      <c r="AX18" s="154">
        <f t="shared" si="85"/>
        <v>23</v>
      </c>
      <c r="AY18" s="154" t="str">
        <f t="shared" si="85"/>
        <v/>
      </c>
      <c r="AZ18" s="154" t="str">
        <f t="shared" si="85"/>
        <v/>
      </c>
      <c r="BA18" s="154">
        <f t="shared" si="85"/>
        <v>30</v>
      </c>
      <c r="BB18" s="154">
        <f t="shared" si="85"/>
        <v>48</v>
      </c>
      <c r="BC18" s="154">
        <f t="shared" si="85"/>
        <v>52</v>
      </c>
      <c r="BD18" s="154">
        <f t="shared" si="85"/>
        <v>50</v>
      </c>
      <c r="BE18" s="154">
        <f t="shared" si="85"/>
        <v>8</v>
      </c>
    </row>
    <row r="19" spans="1:57" ht="7.5" customHeight="1" x14ac:dyDescent="0.25"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:57" s="157" customFormat="1" x14ac:dyDescent="0.25">
      <c r="A20" s="159"/>
      <c r="B20" s="157" t="s">
        <v>496</v>
      </c>
      <c r="C20" s="157" t="s">
        <v>497</v>
      </c>
      <c r="D20" s="157" t="s">
        <v>498</v>
      </c>
      <c r="E20" s="157" t="s">
        <v>499</v>
      </c>
      <c r="F20" s="157" t="s">
        <v>500</v>
      </c>
      <c r="G20" s="157" t="s">
        <v>501</v>
      </c>
      <c r="H20" s="157" t="s">
        <v>502</v>
      </c>
      <c r="I20" s="157" t="s">
        <v>503</v>
      </c>
      <c r="J20" s="157" t="s">
        <v>504</v>
      </c>
      <c r="K20" s="157" t="s">
        <v>505</v>
      </c>
      <c r="L20" s="157" t="s">
        <v>506</v>
      </c>
      <c r="M20" s="157" t="s">
        <v>507</v>
      </c>
      <c r="N20" s="157" t="s">
        <v>508</v>
      </c>
      <c r="O20" s="157" t="s">
        <v>509</v>
      </c>
      <c r="P20" s="157" t="s">
        <v>510</v>
      </c>
      <c r="Q20" s="157" t="s">
        <v>511</v>
      </c>
      <c r="R20" s="157" t="s">
        <v>512</v>
      </c>
      <c r="S20" s="157" t="s">
        <v>513</v>
      </c>
      <c r="T20" s="157" t="s">
        <v>514</v>
      </c>
      <c r="U20" s="157" t="s">
        <v>515</v>
      </c>
      <c r="V20" s="157" t="s">
        <v>516</v>
      </c>
      <c r="W20" s="157" t="s">
        <v>517</v>
      </c>
      <c r="X20" s="157" t="s">
        <v>518</v>
      </c>
      <c r="Y20" s="157" t="s">
        <v>519</v>
      </c>
      <c r="Z20" s="157" t="s">
        <v>520</v>
      </c>
      <c r="AA20" s="157" t="s">
        <v>521</v>
      </c>
      <c r="AB20" s="157" t="s">
        <v>522</v>
      </c>
      <c r="AC20" s="157" t="s">
        <v>523</v>
      </c>
      <c r="AD20" s="157" t="s">
        <v>524</v>
      </c>
      <c r="AE20" s="157" t="s">
        <v>525</v>
      </c>
      <c r="AF20" s="157" t="s">
        <v>526</v>
      </c>
      <c r="AG20" s="157" t="s">
        <v>527</v>
      </c>
      <c r="AH20" s="157" t="s">
        <v>528</v>
      </c>
      <c r="AI20" s="157" t="s">
        <v>529</v>
      </c>
      <c r="AJ20" s="157" t="s">
        <v>530</v>
      </c>
      <c r="AK20" s="157" t="s">
        <v>531</v>
      </c>
      <c r="AL20" s="157" t="s">
        <v>532</v>
      </c>
      <c r="AM20" s="157" t="s">
        <v>533</v>
      </c>
      <c r="AN20" s="157" t="s">
        <v>534</v>
      </c>
      <c r="AO20" s="157" t="s">
        <v>535</v>
      </c>
      <c r="AP20" s="157" t="s">
        <v>536</v>
      </c>
      <c r="AQ20" s="157" t="s">
        <v>537</v>
      </c>
      <c r="AR20" s="157" t="s">
        <v>538</v>
      </c>
      <c r="AS20" s="157" t="s">
        <v>539</v>
      </c>
      <c r="AT20" s="157" t="s">
        <v>540</v>
      </c>
      <c r="AU20" s="157" t="s">
        <v>541</v>
      </c>
      <c r="AV20" s="157" t="s">
        <v>542</v>
      </c>
      <c r="AW20" s="157" t="s">
        <v>543</v>
      </c>
      <c r="AX20" s="157" t="s">
        <v>544</v>
      </c>
      <c r="AY20" s="157" t="s">
        <v>545</v>
      </c>
      <c r="AZ20" s="157" t="s">
        <v>546</v>
      </c>
      <c r="BA20" s="157" t="s">
        <v>547</v>
      </c>
      <c r="BB20" s="157" t="s">
        <v>548</v>
      </c>
      <c r="BC20" s="157" t="s">
        <v>549</v>
      </c>
      <c r="BD20" s="157" t="s">
        <v>550</v>
      </c>
      <c r="BE20" s="157" t="s">
        <v>551</v>
      </c>
    </row>
    <row r="21" spans="1:57" s="9" customFormat="1" x14ac:dyDescent="0.25">
      <c r="A21" s="160" t="s">
        <v>495</v>
      </c>
      <c r="B21" s="9">
        <f t="shared" ref="B21:AG21" si="86">LARGE(17:17,COLUMN(B20)-1)</f>
        <v>183.33333333333334</v>
      </c>
      <c r="C21" s="9">
        <f t="shared" si="86"/>
        <v>116.66666666666667</v>
      </c>
      <c r="D21" s="9">
        <f t="shared" si="86"/>
        <v>108.33333333333334</v>
      </c>
      <c r="E21" s="9">
        <f t="shared" si="86"/>
        <v>100</v>
      </c>
      <c r="F21" s="9">
        <f t="shared" si="86"/>
        <v>100</v>
      </c>
      <c r="G21" s="9">
        <f t="shared" si="86"/>
        <v>75</v>
      </c>
      <c r="H21" s="9">
        <f t="shared" si="86"/>
        <v>58.333333333333336</v>
      </c>
      <c r="I21" s="9">
        <f t="shared" si="86"/>
        <v>50</v>
      </c>
      <c r="J21" s="9">
        <f t="shared" si="86"/>
        <v>50</v>
      </c>
      <c r="K21" s="9">
        <f t="shared" si="86"/>
        <v>41.666666666666671</v>
      </c>
      <c r="L21" s="9">
        <f t="shared" si="86"/>
        <v>33.333333333333336</v>
      </c>
      <c r="M21" s="9">
        <f t="shared" si="86"/>
        <v>33.333333333333336</v>
      </c>
      <c r="N21" s="9">
        <f t="shared" si="86"/>
        <v>12.85181617276219</v>
      </c>
      <c r="O21" s="9">
        <f t="shared" si="86"/>
        <v>7.9320113314447598</v>
      </c>
      <c r="P21" s="9">
        <f t="shared" si="86"/>
        <v>7.0247570938514343</v>
      </c>
      <c r="Q21" s="9">
        <f t="shared" si="86"/>
        <v>6.3331222292590246</v>
      </c>
      <c r="R21" s="9">
        <f t="shared" si="86"/>
        <v>5.9113300492610845</v>
      </c>
      <c r="S21" s="9">
        <f t="shared" si="86"/>
        <v>5.8926803834909247</v>
      </c>
      <c r="T21" s="9">
        <f t="shared" si="86"/>
        <v>5.764138928429281</v>
      </c>
      <c r="U21" s="9">
        <f t="shared" si="86"/>
        <v>5.7471264367816088</v>
      </c>
      <c r="V21" s="9">
        <f t="shared" si="86"/>
        <v>5.7357080624710379</v>
      </c>
      <c r="W21" s="9">
        <f t="shared" si="86"/>
        <v>5.3908355795148246</v>
      </c>
      <c r="X21" s="9">
        <f t="shared" si="86"/>
        <v>5.342237061769616</v>
      </c>
      <c r="Y21" s="9">
        <f t="shared" si="86"/>
        <v>5.3219797764768497</v>
      </c>
      <c r="Z21" s="9">
        <f t="shared" si="86"/>
        <v>4.9155145929339481</v>
      </c>
      <c r="AA21" s="9">
        <f t="shared" si="86"/>
        <v>4.6472720513058832</v>
      </c>
      <c r="AB21" s="9">
        <f t="shared" si="86"/>
        <v>4.43213296398892</v>
      </c>
      <c r="AC21" s="9">
        <f t="shared" si="86"/>
        <v>4.4198895027624312</v>
      </c>
      <c r="AD21" s="9">
        <f t="shared" si="86"/>
        <v>4.3284932908353992</v>
      </c>
      <c r="AE21" s="9">
        <f t="shared" si="86"/>
        <v>4.3204320432043204</v>
      </c>
      <c r="AF21" s="9">
        <f t="shared" si="86"/>
        <v>4.1597337770382694</v>
      </c>
      <c r="AG21" s="9">
        <f t="shared" si="86"/>
        <v>4.1425020712510356</v>
      </c>
      <c r="AH21" s="9">
        <f t="shared" ref="AH21:BE21" si="87">LARGE(17:17,COLUMN(AH20)-1)</f>
        <v>3.7899296155928535</v>
      </c>
      <c r="AI21" s="9">
        <f t="shared" si="87"/>
        <v>3.6866359447004609</v>
      </c>
      <c r="AJ21" s="9">
        <f t="shared" si="87"/>
        <v>3.3846084591857681</v>
      </c>
      <c r="AK21" s="9">
        <f t="shared" si="87"/>
        <v>3.3739456419868792</v>
      </c>
      <c r="AL21" s="9">
        <f t="shared" si="87"/>
        <v>3.3694344163658241</v>
      </c>
      <c r="AM21" s="9">
        <f t="shared" si="87"/>
        <v>3.3195020746887964</v>
      </c>
      <c r="AN21" s="9">
        <f t="shared" si="87"/>
        <v>3.2362099968037032</v>
      </c>
      <c r="AO21" s="9">
        <f t="shared" si="87"/>
        <v>3.1578947368421053</v>
      </c>
      <c r="AP21" s="9">
        <f t="shared" si="87"/>
        <v>3.0667007411193459</v>
      </c>
      <c r="AQ21" s="9">
        <f t="shared" si="87"/>
        <v>2.9850746268656718</v>
      </c>
      <c r="AR21" s="9">
        <f t="shared" si="87"/>
        <v>2.9339853300733498</v>
      </c>
      <c r="AS21" s="9">
        <f t="shared" si="87"/>
        <v>2.9143897996357011</v>
      </c>
      <c r="AT21" s="9">
        <f t="shared" si="87"/>
        <v>2.8628685943315202</v>
      </c>
      <c r="AU21" s="9">
        <f t="shared" si="87"/>
        <v>2.7686770338240043</v>
      </c>
      <c r="AV21" s="9">
        <f t="shared" si="87"/>
        <v>2.6462484488573672</v>
      </c>
      <c r="AW21" s="9">
        <f t="shared" si="87"/>
        <v>1.4509532951773245</v>
      </c>
      <c r="AX21" s="9">
        <f t="shared" si="87"/>
        <v>1.4471780028943559</v>
      </c>
      <c r="AY21" s="9">
        <f t="shared" si="87"/>
        <v>1.4148232674930235</v>
      </c>
      <c r="AZ21" s="9">
        <f t="shared" si="87"/>
        <v>1.2545870840259701</v>
      </c>
      <c r="BA21" s="9">
        <f t="shared" si="87"/>
        <v>1.2351747227520642</v>
      </c>
      <c r="BB21" s="9">
        <f t="shared" si="87"/>
        <v>0</v>
      </c>
      <c r="BC21" s="9">
        <f t="shared" si="87"/>
        <v>0</v>
      </c>
      <c r="BD21" s="9">
        <f t="shared" si="87"/>
        <v>0</v>
      </c>
      <c r="BE21" s="9">
        <f t="shared" si="87"/>
        <v>0</v>
      </c>
    </row>
    <row r="22" spans="1:57" x14ac:dyDescent="0.25">
      <c r="A22" s="159" t="s">
        <v>552</v>
      </c>
      <c r="B22" s="27">
        <v>1</v>
      </c>
      <c r="C22" s="27">
        <v>2</v>
      </c>
      <c r="D22" s="27">
        <v>3</v>
      </c>
      <c r="E22" s="27">
        <v>4</v>
      </c>
      <c r="F22" s="27">
        <v>5</v>
      </c>
      <c r="G22" s="27">
        <v>6</v>
      </c>
      <c r="H22" s="27">
        <v>7</v>
      </c>
      <c r="I22" s="27">
        <v>8</v>
      </c>
      <c r="J22" s="27">
        <v>9</v>
      </c>
      <c r="K22" s="27">
        <v>10</v>
      </c>
      <c r="L22" s="27">
        <v>11</v>
      </c>
      <c r="M22" s="27">
        <v>12</v>
      </c>
      <c r="N22" s="27">
        <v>13</v>
      </c>
      <c r="O22" s="27">
        <v>14</v>
      </c>
      <c r="P22" s="27">
        <v>15</v>
      </c>
      <c r="Q22" s="27">
        <v>16</v>
      </c>
      <c r="R22" s="27">
        <v>17</v>
      </c>
      <c r="S22" s="27">
        <v>18</v>
      </c>
      <c r="T22" s="27">
        <v>19</v>
      </c>
      <c r="U22" s="27">
        <v>20</v>
      </c>
      <c r="V22" s="27">
        <v>21</v>
      </c>
      <c r="W22" s="27">
        <v>22</v>
      </c>
      <c r="X22" s="27">
        <v>23</v>
      </c>
      <c r="Y22" s="27">
        <v>24</v>
      </c>
      <c r="Z22" s="27">
        <v>25</v>
      </c>
      <c r="AA22" s="27">
        <v>26</v>
      </c>
      <c r="AB22" s="27">
        <v>27</v>
      </c>
      <c r="AC22" s="27">
        <v>28</v>
      </c>
      <c r="AD22" s="27">
        <v>29</v>
      </c>
      <c r="AE22" s="27">
        <v>30</v>
      </c>
      <c r="AF22" s="27">
        <v>31</v>
      </c>
      <c r="AG22" s="27">
        <v>32</v>
      </c>
      <c r="AH22" s="27">
        <v>33</v>
      </c>
      <c r="AI22" s="27">
        <v>34</v>
      </c>
      <c r="AJ22" s="27">
        <v>35</v>
      </c>
      <c r="AK22" s="27">
        <v>36</v>
      </c>
      <c r="AL22" s="27">
        <v>37</v>
      </c>
      <c r="AM22" s="27">
        <v>38</v>
      </c>
      <c r="AN22" s="27">
        <v>39</v>
      </c>
      <c r="AO22" s="27">
        <v>40</v>
      </c>
      <c r="AP22" s="27">
        <v>41</v>
      </c>
      <c r="AQ22" s="27">
        <v>42</v>
      </c>
      <c r="AR22" s="27">
        <v>43</v>
      </c>
      <c r="AS22" s="27">
        <v>44</v>
      </c>
      <c r="AT22" s="27">
        <v>45</v>
      </c>
      <c r="AU22" s="27">
        <v>46</v>
      </c>
      <c r="AV22" s="27">
        <v>47</v>
      </c>
      <c r="AW22" s="27">
        <v>48</v>
      </c>
      <c r="AX22" s="27">
        <v>49</v>
      </c>
      <c r="AY22" s="27">
        <v>50</v>
      </c>
      <c r="AZ22" s="27">
        <v>51</v>
      </c>
      <c r="BA22" s="27">
        <v>52</v>
      </c>
      <c r="BB22" s="27">
        <v>53</v>
      </c>
      <c r="BC22" s="27">
        <v>54</v>
      </c>
      <c r="BD22" s="27">
        <v>55</v>
      </c>
      <c r="BE22" s="27">
        <v>56</v>
      </c>
    </row>
    <row r="23" spans="1:57" s="13" customFormat="1" ht="7.5" customHeight="1" x14ac:dyDescent="0.25">
      <c r="A23" s="159"/>
      <c r="B23" s="158"/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158"/>
      <c r="AB23" s="158"/>
      <c r="AC23" s="158"/>
      <c r="AD23" s="158"/>
      <c r="AE23" s="158"/>
      <c r="AF23" s="158"/>
      <c r="AG23" s="158"/>
      <c r="AH23" s="158"/>
      <c r="AI23" s="158"/>
      <c r="AJ23" s="158"/>
      <c r="AK23" s="158"/>
      <c r="AL23" s="158"/>
      <c r="AM23" s="158"/>
      <c r="AN23" s="158"/>
      <c r="AO23" s="158"/>
      <c r="AP23" s="158"/>
      <c r="AQ23" s="158"/>
      <c r="AR23" s="158"/>
      <c r="AS23" s="158"/>
      <c r="AT23" s="158"/>
      <c r="AU23" s="158"/>
      <c r="AV23" s="158"/>
      <c r="AW23" s="158"/>
      <c r="AX23" s="158"/>
      <c r="AY23" s="158"/>
      <c r="AZ23" s="158"/>
      <c r="BA23" s="158"/>
      <c r="BB23" s="158"/>
      <c r="BC23" s="158"/>
      <c r="BD23" s="158"/>
      <c r="BE23" s="158"/>
    </row>
    <row r="24" spans="1:57" s="163" customFormat="1" x14ac:dyDescent="0.25">
      <c r="A24" s="162" t="s">
        <v>567</v>
      </c>
      <c r="C24" s="163" t="s">
        <v>315</v>
      </c>
      <c r="D24" s="163" t="s">
        <v>323</v>
      </c>
      <c r="E24" s="163" t="s">
        <v>268</v>
      </c>
      <c r="F24" s="163" t="s">
        <v>298</v>
      </c>
      <c r="G24" s="163" t="s">
        <v>294</v>
      </c>
      <c r="H24" s="163" t="s">
        <v>415</v>
      </c>
      <c r="I24" s="163" t="s">
        <v>325</v>
      </c>
      <c r="J24" s="163" t="s">
        <v>325</v>
      </c>
      <c r="K24" s="163" t="s">
        <v>415</v>
      </c>
      <c r="L24" s="163" t="s">
        <v>415</v>
      </c>
      <c r="M24" s="163" t="s">
        <v>288</v>
      </c>
      <c r="N24" s="163" t="s">
        <v>415</v>
      </c>
      <c r="O24" s="163" t="s">
        <v>415</v>
      </c>
      <c r="P24" s="163" t="s">
        <v>415</v>
      </c>
      <c r="Q24" s="163" t="s">
        <v>415</v>
      </c>
      <c r="R24" s="163" t="s">
        <v>415</v>
      </c>
      <c r="S24" s="163" t="s">
        <v>298</v>
      </c>
      <c r="T24" s="163" t="s">
        <v>415</v>
      </c>
      <c r="U24" s="163" t="s">
        <v>415</v>
      </c>
      <c r="V24" s="163" t="s">
        <v>415</v>
      </c>
      <c r="W24" s="163" t="s">
        <v>315</v>
      </c>
      <c r="X24" s="163" t="s">
        <v>415</v>
      </c>
      <c r="Y24" s="163" t="s">
        <v>309</v>
      </c>
      <c r="Z24" s="163" t="s">
        <v>359</v>
      </c>
      <c r="AA24" s="163" t="s">
        <v>415</v>
      </c>
      <c r="AB24" s="163" t="s">
        <v>415</v>
      </c>
      <c r="AC24" s="163" t="s">
        <v>415</v>
      </c>
      <c r="AD24" s="163" t="s">
        <v>331</v>
      </c>
      <c r="AE24" s="163" t="s">
        <v>337</v>
      </c>
      <c r="AF24" s="163" t="s">
        <v>415</v>
      </c>
      <c r="AG24" s="163" t="s">
        <v>292</v>
      </c>
      <c r="AH24" s="163" t="s">
        <v>415</v>
      </c>
      <c r="AI24" s="163" t="s">
        <v>415</v>
      </c>
      <c r="AJ24" s="163" t="s">
        <v>415</v>
      </c>
      <c r="AK24" s="163" t="s">
        <v>341</v>
      </c>
      <c r="AL24" s="163" t="s">
        <v>343</v>
      </c>
      <c r="AM24" s="163" t="s">
        <v>379</v>
      </c>
      <c r="AN24" s="163" t="s">
        <v>288</v>
      </c>
      <c r="AO24" s="163" t="s">
        <v>415</v>
      </c>
      <c r="AP24" s="163" t="s">
        <v>355</v>
      </c>
      <c r="AQ24" s="163" t="s">
        <v>331</v>
      </c>
      <c r="AR24" s="163" t="s">
        <v>347</v>
      </c>
      <c r="AS24" s="163" t="s">
        <v>327</v>
      </c>
      <c r="AT24" s="163" t="s">
        <v>415</v>
      </c>
      <c r="AU24" s="163" t="s">
        <v>415</v>
      </c>
      <c r="AV24" s="163" t="s">
        <v>317</v>
      </c>
      <c r="AW24" s="163" t="s">
        <v>361</v>
      </c>
      <c r="AX24" s="163" t="s">
        <v>415</v>
      </c>
      <c r="AY24" s="163" t="s">
        <v>365</v>
      </c>
      <c r="AZ24" s="163" t="s">
        <v>367</v>
      </c>
      <c r="BA24" s="163" t="s">
        <v>415</v>
      </c>
      <c r="BB24" s="163" t="s">
        <v>333</v>
      </c>
      <c r="BC24" s="163" t="s">
        <v>415</v>
      </c>
      <c r="BD24" s="163" t="s">
        <v>415</v>
      </c>
      <c r="BE24" s="163" t="s">
        <v>415</v>
      </c>
    </row>
    <row r="25" spans="1:57" s="163" customFormat="1" x14ac:dyDescent="0.25">
      <c r="A25" s="162" t="s">
        <v>568</v>
      </c>
      <c r="C25" s="163" t="s">
        <v>373</v>
      </c>
      <c r="D25" s="163" t="s">
        <v>357</v>
      </c>
      <c r="E25" s="163" t="s">
        <v>415</v>
      </c>
      <c r="F25" s="163" t="s">
        <v>415</v>
      </c>
      <c r="G25" s="163" t="s">
        <v>296</v>
      </c>
      <c r="H25" s="163" t="s">
        <v>415</v>
      </c>
      <c r="I25" s="163" t="s">
        <v>415</v>
      </c>
      <c r="J25" s="163" t="s">
        <v>415</v>
      </c>
      <c r="K25" s="163" t="s">
        <v>415</v>
      </c>
      <c r="L25" s="163" t="s">
        <v>415</v>
      </c>
      <c r="M25" s="163" t="s">
        <v>415</v>
      </c>
      <c r="N25" s="163" t="s">
        <v>415</v>
      </c>
      <c r="O25" s="163" t="s">
        <v>415</v>
      </c>
      <c r="P25" s="163" t="s">
        <v>415</v>
      </c>
      <c r="Q25" s="163" t="s">
        <v>415</v>
      </c>
      <c r="R25" s="163" t="s">
        <v>415</v>
      </c>
      <c r="S25" s="163" t="s">
        <v>415</v>
      </c>
      <c r="T25" s="163" t="s">
        <v>415</v>
      </c>
      <c r="U25" s="163" t="s">
        <v>415</v>
      </c>
      <c r="V25" s="163" t="s">
        <v>415</v>
      </c>
      <c r="W25" s="163" t="s">
        <v>373</v>
      </c>
      <c r="X25" s="163" t="s">
        <v>415</v>
      </c>
      <c r="Y25" s="163" t="s">
        <v>415</v>
      </c>
      <c r="Z25" s="163" t="s">
        <v>415</v>
      </c>
      <c r="AA25" s="163" t="s">
        <v>415</v>
      </c>
      <c r="AB25" s="163" t="s">
        <v>415</v>
      </c>
      <c r="AC25" s="163" t="s">
        <v>415</v>
      </c>
      <c r="AD25" s="163" t="s">
        <v>278</v>
      </c>
      <c r="AE25" s="163" t="s">
        <v>415</v>
      </c>
      <c r="AF25" s="163" t="s">
        <v>415</v>
      </c>
      <c r="AG25" s="163" t="s">
        <v>415</v>
      </c>
      <c r="AH25" s="163" t="s">
        <v>415</v>
      </c>
      <c r="AI25" s="163" t="s">
        <v>415</v>
      </c>
      <c r="AJ25" s="163" t="s">
        <v>415</v>
      </c>
      <c r="AK25" s="163" t="s">
        <v>415</v>
      </c>
      <c r="AL25" s="163" t="s">
        <v>415</v>
      </c>
      <c r="AM25" s="163" t="s">
        <v>415</v>
      </c>
      <c r="AN25" s="163" t="s">
        <v>415</v>
      </c>
      <c r="AO25" s="163" t="s">
        <v>415</v>
      </c>
      <c r="AP25" s="163" t="s">
        <v>415</v>
      </c>
      <c r="AQ25" s="163" t="s">
        <v>415</v>
      </c>
      <c r="AR25" s="163" t="s">
        <v>415</v>
      </c>
      <c r="AS25" s="163" t="s">
        <v>415</v>
      </c>
      <c r="AT25" s="163" t="s">
        <v>415</v>
      </c>
      <c r="AU25" s="163" t="s">
        <v>415</v>
      </c>
      <c r="AV25" s="163" t="s">
        <v>415</v>
      </c>
      <c r="AW25" s="163" t="s">
        <v>415</v>
      </c>
      <c r="AX25" s="163" t="s">
        <v>415</v>
      </c>
      <c r="AY25" s="163" t="s">
        <v>415</v>
      </c>
      <c r="AZ25" s="163" t="s">
        <v>415</v>
      </c>
      <c r="BA25" s="163" t="s">
        <v>415</v>
      </c>
      <c r="BB25" s="163" t="s">
        <v>415</v>
      </c>
      <c r="BC25" s="163" t="s">
        <v>415</v>
      </c>
      <c r="BD25" s="163" t="s">
        <v>415</v>
      </c>
      <c r="BE25" s="163" t="s">
        <v>415</v>
      </c>
    </row>
    <row r="26" spans="1:57" s="163" customFormat="1" x14ac:dyDescent="0.25">
      <c r="A26" s="162" t="s">
        <v>569</v>
      </c>
      <c r="C26" s="163" t="s">
        <v>272</v>
      </c>
      <c r="D26" s="163" t="s">
        <v>415</v>
      </c>
      <c r="E26" s="163" t="s">
        <v>415</v>
      </c>
      <c r="F26" s="163" t="s">
        <v>415</v>
      </c>
      <c r="G26" s="163" t="s">
        <v>415</v>
      </c>
      <c r="H26" s="163" t="s">
        <v>415</v>
      </c>
      <c r="I26" s="163" t="s">
        <v>415</v>
      </c>
      <c r="J26" s="163" t="s">
        <v>415</v>
      </c>
      <c r="K26" s="163" t="s">
        <v>415</v>
      </c>
      <c r="L26" s="163" t="s">
        <v>415</v>
      </c>
      <c r="M26" s="163" t="s">
        <v>415</v>
      </c>
      <c r="N26" s="163" t="s">
        <v>415</v>
      </c>
      <c r="O26" s="163" t="s">
        <v>415</v>
      </c>
      <c r="P26" s="163" t="s">
        <v>415</v>
      </c>
      <c r="Q26" s="163" t="s">
        <v>415</v>
      </c>
      <c r="R26" s="163" t="s">
        <v>415</v>
      </c>
      <c r="S26" s="163" t="s">
        <v>415</v>
      </c>
      <c r="T26" s="163" t="s">
        <v>415</v>
      </c>
      <c r="U26" s="163" t="s">
        <v>415</v>
      </c>
      <c r="V26" s="163" t="s">
        <v>415</v>
      </c>
      <c r="W26" s="163" t="s">
        <v>272</v>
      </c>
      <c r="X26" s="163" t="s">
        <v>415</v>
      </c>
      <c r="Y26" s="163" t="s">
        <v>415</v>
      </c>
      <c r="Z26" s="163" t="s">
        <v>415</v>
      </c>
      <c r="AA26" s="163" t="s">
        <v>415</v>
      </c>
      <c r="AB26" s="163" t="s">
        <v>415</v>
      </c>
      <c r="AC26" s="163" t="s">
        <v>415</v>
      </c>
      <c r="AD26" s="163" t="s">
        <v>361</v>
      </c>
      <c r="AE26" s="163" t="s">
        <v>415</v>
      </c>
      <c r="AF26" s="163" t="s">
        <v>415</v>
      </c>
      <c r="AG26" s="163" t="s">
        <v>415</v>
      </c>
      <c r="AH26" s="163" t="s">
        <v>415</v>
      </c>
      <c r="AI26" s="163" t="s">
        <v>415</v>
      </c>
      <c r="AJ26" s="163" t="s">
        <v>415</v>
      </c>
      <c r="AK26" s="163" t="s">
        <v>415</v>
      </c>
      <c r="AL26" s="163" t="s">
        <v>415</v>
      </c>
      <c r="AM26" s="163" t="s">
        <v>415</v>
      </c>
      <c r="AN26" s="163" t="s">
        <v>415</v>
      </c>
      <c r="AO26" s="163" t="s">
        <v>415</v>
      </c>
      <c r="AP26" s="163" t="s">
        <v>415</v>
      </c>
      <c r="AQ26" s="163" t="s">
        <v>415</v>
      </c>
      <c r="AR26" s="163" t="s">
        <v>415</v>
      </c>
      <c r="AS26" s="163" t="s">
        <v>415</v>
      </c>
      <c r="AT26" s="163" t="s">
        <v>415</v>
      </c>
      <c r="AU26" s="163" t="s">
        <v>415</v>
      </c>
      <c r="AV26" s="163" t="s">
        <v>415</v>
      </c>
      <c r="AW26" s="163" t="s">
        <v>415</v>
      </c>
      <c r="AX26" s="163" t="s">
        <v>415</v>
      </c>
      <c r="AY26" s="163" t="s">
        <v>415</v>
      </c>
      <c r="AZ26" s="163" t="s">
        <v>415</v>
      </c>
      <c r="BA26" s="163" t="s">
        <v>415</v>
      </c>
      <c r="BB26" s="163" t="s">
        <v>415</v>
      </c>
      <c r="BC26" s="163" t="s">
        <v>415</v>
      </c>
      <c r="BD26" s="163" t="s">
        <v>415</v>
      </c>
      <c r="BE26" s="163" t="s">
        <v>415</v>
      </c>
    </row>
    <row r="27" spans="1:57" s="163" customFormat="1" x14ac:dyDescent="0.25">
      <c r="A27" s="162" t="s">
        <v>570</v>
      </c>
      <c r="C27" s="163" t="s">
        <v>268</v>
      </c>
      <c r="D27" s="163" t="s">
        <v>415</v>
      </c>
      <c r="E27" s="163" t="s">
        <v>415</v>
      </c>
      <c r="F27" s="163" t="s">
        <v>415</v>
      </c>
      <c r="G27" s="163" t="s">
        <v>415</v>
      </c>
      <c r="H27" s="163" t="s">
        <v>415</v>
      </c>
      <c r="I27" s="163" t="s">
        <v>415</v>
      </c>
      <c r="J27" s="163" t="s">
        <v>415</v>
      </c>
      <c r="K27" s="163" t="s">
        <v>415</v>
      </c>
      <c r="L27" s="163" t="s">
        <v>415</v>
      </c>
      <c r="M27" s="163" t="s">
        <v>415</v>
      </c>
      <c r="N27" s="163" t="s">
        <v>415</v>
      </c>
      <c r="O27" s="163" t="s">
        <v>415</v>
      </c>
      <c r="P27" s="163" t="s">
        <v>415</v>
      </c>
      <c r="Q27" s="163" t="s">
        <v>415</v>
      </c>
      <c r="R27" s="163" t="s">
        <v>415</v>
      </c>
      <c r="S27" s="163" t="s">
        <v>415</v>
      </c>
      <c r="T27" s="163" t="s">
        <v>415</v>
      </c>
      <c r="U27" s="163" t="s">
        <v>415</v>
      </c>
      <c r="V27" s="163" t="s">
        <v>415</v>
      </c>
      <c r="W27" s="163" t="s">
        <v>415</v>
      </c>
      <c r="X27" s="163" t="s">
        <v>415</v>
      </c>
      <c r="Y27" s="163" t="s">
        <v>415</v>
      </c>
      <c r="Z27" s="163" t="s">
        <v>415</v>
      </c>
      <c r="AA27" s="163" t="s">
        <v>415</v>
      </c>
      <c r="AB27" s="163" t="s">
        <v>415</v>
      </c>
      <c r="AC27" s="163" t="s">
        <v>415</v>
      </c>
      <c r="AD27" s="163" t="s">
        <v>302</v>
      </c>
      <c r="AE27" s="163" t="s">
        <v>415</v>
      </c>
      <c r="AF27" s="163" t="s">
        <v>415</v>
      </c>
      <c r="AG27" s="163" t="s">
        <v>415</v>
      </c>
      <c r="AH27" s="163" t="s">
        <v>415</v>
      </c>
      <c r="AI27" s="163" t="s">
        <v>415</v>
      </c>
      <c r="AJ27" s="163" t="s">
        <v>415</v>
      </c>
      <c r="AK27" s="163" t="s">
        <v>415</v>
      </c>
      <c r="AL27" s="163" t="s">
        <v>415</v>
      </c>
      <c r="AM27" s="163" t="s">
        <v>415</v>
      </c>
      <c r="AN27" s="163" t="s">
        <v>415</v>
      </c>
      <c r="AO27" s="163" t="s">
        <v>415</v>
      </c>
      <c r="AP27" s="163" t="s">
        <v>415</v>
      </c>
      <c r="AQ27" s="163" t="s">
        <v>415</v>
      </c>
      <c r="AR27" s="163" t="s">
        <v>415</v>
      </c>
      <c r="AS27" s="163" t="s">
        <v>415</v>
      </c>
      <c r="AT27" s="163" t="s">
        <v>415</v>
      </c>
      <c r="AU27" s="163" t="s">
        <v>415</v>
      </c>
      <c r="AV27" s="163" t="s">
        <v>415</v>
      </c>
      <c r="AW27" s="163" t="s">
        <v>415</v>
      </c>
      <c r="AX27" s="163" t="s">
        <v>415</v>
      </c>
      <c r="AY27" s="163" t="s">
        <v>415</v>
      </c>
      <c r="AZ27" s="163" t="s">
        <v>415</v>
      </c>
      <c r="BA27" s="163" t="s">
        <v>415</v>
      </c>
      <c r="BB27" s="163" t="s">
        <v>415</v>
      </c>
      <c r="BC27" s="163" t="s">
        <v>415</v>
      </c>
      <c r="BD27" s="163" t="s">
        <v>415</v>
      </c>
      <c r="BE27" s="163" t="s">
        <v>415</v>
      </c>
    </row>
    <row r="28" spans="1:57" s="163" customFormat="1" x14ac:dyDescent="0.25">
      <c r="A28" s="162" t="s">
        <v>571</v>
      </c>
      <c r="C28" s="163" t="s">
        <v>347</v>
      </c>
      <c r="D28" s="163" t="s">
        <v>415</v>
      </c>
      <c r="E28" s="163" t="s">
        <v>415</v>
      </c>
      <c r="F28" s="163" t="s">
        <v>415</v>
      </c>
      <c r="G28" s="163" t="s">
        <v>415</v>
      </c>
      <c r="H28" s="163" t="s">
        <v>415</v>
      </c>
      <c r="I28" s="163" t="s">
        <v>415</v>
      </c>
      <c r="J28" s="163" t="s">
        <v>415</v>
      </c>
      <c r="K28" s="163" t="s">
        <v>415</v>
      </c>
      <c r="L28" s="163" t="s">
        <v>415</v>
      </c>
      <c r="M28" s="163" t="s">
        <v>415</v>
      </c>
      <c r="N28" s="163" t="s">
        <v>415</v>
      </c>
      <c r="O28" s="163" t="s">
        <v>415</v>
      </c>
      <c r="P28" s="163" t="s">
        <v>415</v>
      </c>
      <c r="Q28" s="163" t="s">
        <v>415</v>
      </c>
      <c r="R28" s="163" t="s">
        <v>415</v>
      </c>
      <c r="S28" s="163" t="s">
        <v>415</v>
      </c>
      <c r="T28" s="163" t="s">
        <v>415</v>
      </c>
      <c r="U28" s="163" t="s">
        <v>415</v>
      </c>
      <c r="V28" s="163" t="s">
        <v>415</v>
      </c>
      <c r="W28" s="163" t="s">
        <v>415</v>
      </c>
      <c r="X28" s="163" t="s">
        <v>415</v>
      </c>
      <c r="Y28" s="163" t="s">
        <v>415</v>
      </c>
      <c r="Z28" s="163" t="s">
        <v>415</v>
      </c>
      <c r="AA28" s="163" t="s">
        <v>415</v>
      </c>
      <c r="AB28" s="163" t="s">
        <v>415</v>
      </c>
      <c r="AC28" s="163" t="s">
        <v>415</v>
      </c>
      <c r="AD28" s="163" t="s">
        <v>337</v>
      </c>
      <c r="AE28" s="163" t="s">
        <v>415</v>
      </c>
      <c r="AF28" s="163" t="s">
        <v>415</v>
      </c>
      <c r="AG28" s="163" t="s">
        <v>415</v>
      </c>
      <c r="AH28" s="163" t="s">
        <v>415</v>
      </c>
      <c r="AI28" s="163" t="s">
        <v>415</v>
      </c>
      <c r="AJ28" s="163" t="s">
        <v>415</v>
      </c>
      <c r="AK28" s="163" t="s">
        <v>415</v>
      </c>
      <c r="AL28" s="163" t="s">
        <v>415</v>
      </c>
      <c r="AM28" s="163" t="s">
        <v>415</v>
      </c>
      <c r="AN28" s="163" t="s">
        <v>415</v>
      </c>
      <c r="AO28" s="163" t="s">
        <v>415</v>
      </c>
      <c r="AP28" s="163" t="s">
        <v>415</v>
      </c>
      <c r="AQ28" s="163" t="s">
        <v>415</v>
      </c>
      <c r="AR28" s="163" t="s">
        <v>415</v>
      </c>
      <c r="AS28" s="163" t="s">
        <v>415</v>
      </c>
      <c r="AT28" s="163" t="s">
        <v>415</v>
      </c>
      <c r="AU28" s="163" t="s">
        <v>415</v>
      </c>
      <c r="AV28" s="163" t="s">
        <v>415</v>
      </c>
      <c r="AW28" s="163" t="s">
        <v>415</v>
      </c>
      <c r="AX28" s="163" t="s">
        <v>415</v>
      </c>
      <c r="AY28" s="163" t="s">
        <v>415</v>
      </c>
      <c r="AZ28" s="163" t="s">
        <v>415</v>
      </c>
      <c r="BA28" s="163" t="s">
        <v>415</v>
      </c>
      <c r="BB28" s="163" t="s">
        <v>415</v>
      </c>
      <c r="BC28" s="163" t="s">
        <v>415</v>
      </c>
      <c r="BD28" s="163" t="s">
        <v>415</v>
      </c>
      <c r="BE28" s="163" t="s">
        <v>415</v>
      </c>
    </row>
    <row r="29" spans="1:57" s="13" customFormat="1" ht="7.5" customHeight="1" x14ac:dyDescent="0.25">
      <c r="A29" s="159"/>
      <c r="B29" s="158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158"/>
      <c r="AB29" s="158"/>
      <c r="AC29" s="158"/>
      <c r="AD29" s="158"/>
      <c r="AE29" s="158"/>
      <c r="AF29" s="158"/>
      <c r="AG29" s="158"/>
      <c r="AH29" s="158"/>
      <c r="AI29" s="158"/>
      <c r="AJ29" s="158"/>
      <c r="AK29" s="158"/>
      <c r="AL29" s="158"/>
      <c r="AM29" s="158"/>
      <c r="AN29" s="158"/>
      <c r="AO29" s="158"/>
      <c r="AP29" s="158"/>
      <c r="AQ29" s="158"/>
      <c r="AR29" s="158"/>
      <c r="AS29" s="158"/>
      <c r="AT29" s="158"/>
      <c r="AU29" s="158"/>
      <c r="AV29" s="158"/>
      <c r="AW29" s="158"/>
      <c r="AX29" s="158"/>
      <c r="AY29" s="158"/>
      <c r="AZ29" s="158"/>
      <c r="BA29" s="158"/>
      <c r="BB29" s="158"/>
      <c r="BC29" s="158"/>
      <c r="BD29" s="158"/>
      <c r="BE29" s="158"/>
    </row>
    <row r="30" spans="1:57" s="163" customFormat="1" x14ac:dyDescent="0.25">
      <c r="A30" s="162" t="s">
        <v>562</v>
      </c>
      <c r="C30" s="9">
        <f>IF(C24&lt;&gt;"",HLOOKUP(C24,$1:$17,17,FALSE),"")</f>
        <v>3.3739456419868792</v>
      </c>
      <c r="D30" s="9">
        <f t="shared" ref="D30:BE30" si="88">IF(D24&lt;&gt;"",HLOOKUP(D24,$1:$17,17,FALSE),"")</f>
        <v>116.66666666666667</v>
      </c>
      <c r="E30" s="9">
        <f t="shared" si="88"/>
        <v>3.6866359447004609</v>
      </c>
      <c r="F30" s="9">
        <f t="shared" si="88"/>
        <v>33.333333333333336</v>
      </c>
      <c r="G30" s="9">
        <f t="shared" si="88"/>
        <v>33.333333333333336</v>
      </c>
      <c r="H30" s="9" t="str">
        <f t="shared" si="88"/>
        <v/>
      </c>
      <c r="I30" s="9">
        <f t="shared" si="88"/>
        <v>3.7899296155928535</v>
      </c>
      <c r="J30" s="9">
        <f t="shared" si="88"/>
        <v>3.7899296155928535</v>
      </c>
      <c r="K30" s="9" t="str">
        <f t="shared" si="88"/>
        <v/>
      </c>
      <c r="L30" s="9" t="str">
        <f t="shared" si="88"/>
        <v/>
      </c>
      <c r="M30" s="9">
        <f t="shared" si="88"/>
        <v>2.7686770338240043</v>
      </c>
      <c r="N30" s="9" t="str">
        <f t="shared" si="88"/>
        <v/>
      </c>
      <c r="O30" s="9" t="str">
        <f t="shared" si="88"/>
        <v/>
      </c>
      <c r="P30" s="9" t="str">
        <f t="shared" si="88"/>
        <v/>
      </c>
      <c r="Q30" s="9" t="str">
        <f t="shared" si="88"/>
        <v/>
      </c>
      <c r="R30" s="9" t="str">
        <f t="shared" si="88"/>
        <v/>
      </c>
      <c r="S30" s="9">
        <f t="shared" si="88"/>
        <v>33.333333333333336</v>
      </c>
      <c r="T30" s="9" t="str">
        <f t="shared" si="88"/>
        <v/>
      </c>
      <c r="U30" s="9" t="str">
        <f t="shared" si="88"/>
        <v/>
      </c>
      <c r="V30" s="9" t="str">
        <f t="shared" si="88"/>
        <v/>
      </c>
      <c r="W30" s="9">
        <f t="shared" si="88"/>
        <v>3.3739456419868792</v>
      </c>
      <c r="X30" s="9" t="str">
        <f t="shared" si="88"/>
        <v/>
      </c>
      <c r="Y30" s="9">
        <f t="shared" si="88"/>
        <v>108.33333333333334</v>
      </c>
      <c r="Z30" s="9">
        <f t="shared" si="88"/>
        <v>100</v>
      </c>
      <c r="AA30" s="9" t="str">
        <f t="shared" si="88"/>
        <v/>
      </c>
      <c r="AB30" s="9" t="str">
        <f t="shared" si="88"/>
        <v/>
      </c>
      <c r="AC30" s="9" t="str">
        <f t="shared" si="88"/>
        <v/>
      </c>
      <c r="AD30" s="9">
        <f t="shared" si="88"/>
        <v>3.2362099968037032</v>
      </c>
      <c r="AE30" s="9">
        <f t="shared" si="88"/>
        <v>183.33333333333334</v>
      </c>
      <c r="AF30" s="9" t="str">
        <f t="shared" si="88"/>
        <v/>
      </c>
      <c r="AG30" s="9">
        <f t="shared" si="88"/>
        <v>75</v>
      </c>
      <c r="AH30" s="9" t="str">
        <f t="shared" si="88"/>
        <v/>
      </c>
      <c r="AI30" s="9" t="str">
        <f t="shared" si="88"/>
        <v/>
      </c>
      <c r="AJ30" s="9" t="str">
        <f t="shared" si="88"/>
        <v/>
      </c>
      <c r="AK30" s="9">
        <f t="shared" si="88"/>
        <v>0</v>
      </c>
      <c r="AL30" s="9">
        <f t="shared" si="88"/>
        <v>5.7357080624710379</v>
      </c>
      <c r="AM30" s="9">
        <f t="shared" si="88"/>
        <v>50</v>
      </c>
      <c r="AN30" s="9">
        <f t="shared" si="88"/>
        <v>2.7686770338240043</v>
      </c>
      <c r="AO30" s="9" t="str">
        <f t="shared" si="88"/>
        <v/>
      </c>
      <c r="AP30" s="9">
        <f t="shared" si="88"/>
        <v>5.764138928429281</v>
      </c>
      <c r="AQ30" s="9">
        <f t="shared" si="88"/>
        <v>3.2362099968037032</v>
      </c>
      <c r="AR30" s="9">
        <f t="shared" si="88"/>
        <v>41.666666666666671</v>
      </c>
      <c r="AS30" s="9">
        <f t="shared" si="88"/>
        <v>12.85181617276219</v>
      </c>
      <c r="AT30" s="9" t="str">
        <f t="shared" si="88"/>
        <v/>
      </c>
      <c r="AU30" s="9" t="str">
        <f t="shared" si="88"/>
        <v/>
      </c>
      <c r="AV30" s="9">
        <f t="shared" si="88"/>
        <v>3.0667007411193459</v>
      </c>
      <c r="AW30" s="9">
        <f t="shared" si="88"/>
        <v>5.8926803834909247</v>
      </c>
      <c r="AX30" s="9" t="str">
        <f t="shared" si="88"/>
        <v/>
      </c>
      <c r="AY30" s="9">
        <f t="shared" si="88"/>
        <v>5.342237061769616</v>
      </c>
      <c r="AZ30" s="9">
        <f t="shared" si="88"/>
        <v>0</v>
      </c>
      <c r="BA30" s="9" t="str">
        <f t="shared" si="88"/>
        <v/>
      </c>
      <c r="BB30" s="9">
        <f t="shared" si="88"/>
        <v>2.6462484488573672</v>
      </c>
      <c r="BC30" s="9" t="str">
        <f t="shared" si="88"/>
        <v/>
      </c>
      <c r="BD30" s="9" t="str">
        <f t="shared" si="88"/>
        <v/>
      </c>
      <c r="BE30" s="9" t="str">
        <f t="shared" si="88"/>
        <v/>
      </c>
    </row>
    <row r="31" spans="1:57" s="163" customFormat="1" x14ac:dyDescent="0.25">
      <c r="A31" s="162" t="s">
        <v>563</v>
      </c>
      <c r="C31" s="9">
        <f t="shared" ref="C31:BE31" si="89">IF(C25&lt;&gt;"",HLOOKUP(C25,$1:$17,17,FALSE),"")</f>
        <v>1.4509532951773245</v>
      </c>
      <c r="D31" s="9">
        <f t="shared" si="89"/>
        <v>100</v>
      </c>
      <c r="E31" s="9" t="str">
        <f t="shared" si="89"/>
        <v/>
      </c>
      <c r="F31" s="9" t="str">
        <f t="shared" si="89"/>
        <v/>
      </c>
      <c r="G31" s="9">
        <f t="shared" si="89"/>
        <v>58.333333333333336</v>
      </c>
      <c r="H31" s="9" t="str">
        <f t="shared" si="89"/>
        <v/>
      </c>
      <c r="I31" s="9" t="str">
        <f t="shared" si="89"/>
        <v/>
      </c>
      <c r="J31" s="9" t="str">
        <f t="shared" si="89"/>
        <v/>
      </c>
      <c r="K31" s="9" t="str">
        <f t="shared" si="89"/>
        <v/>
      </c>
      <c r="L31" s="9" t="str">
        <f t="shared" si="89"/>
        <v/>
      </c>
      <c r="M31" s="9" t="str">
        <f t="shared" si="89"/>
        <v/>
      </c>
      <c r="N31" s="9" t="str">
        <f t="shared" si="89"/>
        <v/>
      </c>
      <c r="O31" s="9" t="str">
        <f t="shared" si="89"/>
        <v/>
      </c>
      <c r="P31" s="9" t="str">
        <f t="shared" si="89"/>
        <v/>
      </c>
      <c r="Q31" s="9" t="str">
        <f t="shared" si="89"/>
        <v/>
      </c>
      <c r="R31" s="9" t="str">
        <f t="shared" si="89"/>
        <v/>
      </c>
      <c r="S31" s="9" t="str">
        <f t="shared" si="89"/>
        <v/>
      </c>
      <c r="T31" s="9" t="str">
        <f t="shared" si="89"/>
        <v/>
      </c>
      <c r="U31" s="9" t="str">
        <f t="shared" si="89"/>
        <v/>
      </c>
      <c r="V31" s="9" t="str">
        <f t="shared" si="89"/>
        <v/>
      </c>
      <c r="W31" s="9">
        <f t="shared" si="89"/>
        <v>1.4509532951773245</v>
      </c>
      <c r="X31" s="9" t="str">
        <f t="shared" si="89"/>
        <v/>
      </c>
      <c r="Y31" s="9" t="str">
        <f t="shared" si="89"/>
        <v/>
      </c>
      <c r="Z31" s="9" t="str">
        <f t="shared" si="89"/>
        <v/>
      </c>
      <c r="AA31" s="9" t="str">
        <f t="shared" si="89"/>
        <v/>
      </c>
      <c r="AB31" s="9" t="str">
        <f t="shared" si="89"/>
        <v/>
      </c>
      <c r="AC31" s="9" t="str">
        <f t="shared" si="89"/>
        <v/>
      </c>
      <c r="AD31" s="9">
        <f t="shared" si="89"/>
        <v>1.4471780028943559</v>
      </c>
      <c r="AE31" s="9" t="str">
        <f t="shared" si="89"/>
        <v/>
      </c>
      <c r="AF31" s="9" t="str">
        <f t="shared" si="89"/>
        <v/>
      </c>
      <c r="AG31" s="9" t="str">
        <f t="shared" si="89"/>
        <v/>
      </c>
      <c r="AH31" s="9" t="str">
        <f t="shared" si="89"/>
        <v/>
      </c>
      <c r="AI31" s="9" t="str">
        <f t="shared" si="89"/>
        <v/>
      </c>
      <c r="AJ31" s="9" t="str">
        <f t="shared" si="89"/>
        <v/>
      </c>
      <c r="AK31" s="9" t="str">
        <f t="shared" si="89"/>
        <v/>
      </c>
      <c r="AL31" s="9" t="str">
        <f t="shared" si="89"/>
        <v/>
      </c>
      <c r="AM31" s="9" t="str">
        <f t="shared" si="89"/>
        <v/>
      </c>
      <c r="AN31" s="9" t="str">
        <f t="shared" si="89"/>
        <v/>
      </c>
      <c r="AO31" s="9" t="str">
        <f t="shared" si="89"/>
        <v/>
      </c>
      <c r="AP31" s="9" t="str">
        <f t="shared" si="89"/>
        <v/>
      </c>
      <c r="AQ31" s="9" t="str">
        <f t="shared" si="89"/>
        <v/>
      </c>
      <c r="AR31" s="9" t="str">
        <f t="shared" si="89"/>
        <v/>
      </c>
      <c r="AS31" s="9" t="str">
        <f t="shared" si="89"/>
        <v/>
      </c>
      <c r="AT31" s="9" t="str">
        <f t="shared" si="89"/>
        <v/>
      </c>
      <c r="AU31" s="9" t="str">
        <f t="shared" si="89"/>
        <v/>
      </c>
      <c r="AV31" s="9" t="str">
        <f t="shared" si="89"/>
        <v/>
      </c>
      <c r="AW31" s="9" t="str">
        <f t="shared" si="89"/>
        <v/>
      </c>
      <c r="AX31" s="9" t="str">
        <f t="shared" si="89"/>
        <v/>
      </c>
      <c r="AY31" s="9" t="str">
        <f t="shared" si="89"/>
        <v/>
      </c>
      <c r="AZ31" s="9" t="str">
        <f t="shared" si="89"/>
        <v/>
      </c>
      <c r="BA31" s="9" t="str">
        <f t="shared" si="89"/>
        <v/>
      </c>
      <c r="BB31" s="9" t="str">
        <f t="shared" si="89"/>
        <v/>
      </c>
      <c r="BC31" s="9" t="str">
        <f t="shared" si="89"/>
        <v/>
      </c>
      <c r="BD31" s="9" t="str">
        <f t="shared" si="89"/>
        <v/>
      </c>
      <c r="BE31" s="9" t="str">
        <f t="shared" si="89"/>
        <v/>
      </c>
    </row>
    <row r="32" spans="1:57" s="163" customFormat="1" x14ac:dyDescent="0.25">
      <c r="A32" s="162" t="s">
        <v>564</v>
      </c>
      <c r="C32" s="9">
        <f t="shared" ref="C32:BE32" si="90">IF(C26&lt;&gt;"",HLOOKUP(C26,$1:$17,17,FALSE),"")</f>
        <v>4.1425020712510356</v>
      </c>
      <c r="D32" s="9" t="str">
        <f t="shared" si="90"/>
        <v/>
      </c>
      <c r="E32" s="9" t="str">
        <f t="shared" si="90"/>
        <v/>
      </c>
      <c r="F32" s="9" t="str">
        <f t="shared" si="90"/>
        <v/>
      </c>
      <c r="G32" s="9" t="str">
        <f t="shared" si="90"/>
        <v/>
      </c>
      <c r="H32" s="9" t="str">
        <f t="shared" si="90"/>
        <v/>
      </c>
      <c r="I32" s="9" t="str">
        <f t="shared" si="90"/>
        <v/>
      </c>
      <c r="J32" s="9" t="str">
        <f t="shared" si="90"/>
        <v/>
      </c>
      <c r="K32" s="9" t="str">
        <f t="shared" si="90"/>
        <v/>
      </c>
      <c r="L32" s="9" t="str">
        <f t="shared" si="90"/>
        <v/>
      </c>
      <c r="M32" s="9" t="str">
        <f t="shared" si="90"/>
        <v/>
      </c>
      <c r="N32" s="9" t="str">
        <f t="shared" si="90"/>
        <v/>
      </c>
      <c r="O32" s="9" t="str">
        <f t="shared" si="90"/>
        <v/>
      </c>
      <c r="P32" s="9" t="str">
        <f t="shared" si="90"/>
        <v/>
      </c>
      <c r="Q32" s="9" t="str">
        <f t="shared" si="90"/>
        <v/>
      </c>
      <c r="R32" s="9" t="str">
        <f t="shared" si="90"/>
        <v/>
      </c>
      <c r="S32" s="9" t="str">
        <f t="shared" si="90"/>
        <v/>
      </c>
      <c r="T32" s="9" t="str">
        <f t="shared" si="90"/>
        <v/>
      </c>
      <c r="U32" s="9" t="str">
        <f t="shared" si="90"/>
        <v/>
      </c>
      <c r="V32" s="9" t="str">
        <f t="shared" si="90"/>
        <v/>
      </c>
      <c r="W32" s="9">
        <f t="shared" si="90"/>
        <v>4.1425020712510356</v>
      </c>
      <c r="X32" s="9" t="str">
        <f t="shared" si="90"/>
        <v/>
      </c>
      <c r="Y32" s="9" t="str">
        <f t="shared" si="90"/>
        <v/>
      </c>
      <c r="Z32" s="9" t="str">
        <f t="shared" si="90"/>
        <v/>
      </c>
      <c r="AA32" s="9" t="str">
        <f t="shared" si="90"/>
        <v/>
      </c>
      <c r="AB32" s="9" t="str">
        <f t="shared" si="90"/>
        <v/>
      </c>
      <c r="AC32" s="9" t="str">
        <f t="shared" si="90"/>
        <v/>
      </c>
      <c r="AD32" s="9">
        <f t="shared" si="90"/>
        <v>5.8926803834909247</v>
      </c>
      <c r="AE32" s="9" t="str">
        <f t="shared" si="90"/>
        <v/>
      </c>
      <c r="AF32" s="9" t="str">
        <f t="shared" si="90"/>
        <v/>
      </c>
      <c r="AG32" s="9" t="str">
        <f t="shared" si="90"/>
        <v/>
      </c>
      <c r="AH32" s="9" t="str">
        <f t="shared" si="90"/>
        <v/>
      </c>
      <c r="AI32" s="9" t="str">
        <f t="shared" si="90"/>
        <v/>
      </c>
      <c r="AJ32" s="9" t="str">
        <f t="shared" si="90"/>
        <v/>
      </c>
      <c r="AK32" s="9" t="str">
        <f t="shared" si="90"/>
        <v/>
      </c>
      <c r="AL32" s="9" t="str">
        <f t="shared" si="90"/>
        <v/>
      </c>
      <c r="AM32" s="9" t="str">
        <f t="shared" si="90"/>
        <v/>
      </c>
      <c r="AN32" s="9" t="str">
        <f t="shared" si="90"/>
        <v/>
      </c>
      <c r="AO32" s="9" t="str">
        <f t="shared" si="90"/>
        <v/>
      </c>
      <c r="AP32" s="9" t="str">
        <f t="shared" si="90"/>
        <v/>
      </c>
      <c r="AQ32" s="9" t="str">
        <f t="shared" si="90"/>
        <v/>
      </c>
      <c r="AR32" s="9" t="str">
        <f t="shared" si="90"/>
        <v/>
      </c>
      <c r="AS32" s="9" t="str">
        <f t="shared" si="90"/>
        <v/>
      </c>
      <c r="AT32" s="9" t="str">
        <f t="shared" si="90"/>
        <v/>
      </c>
      <c r="AU32" s="9" t="str">
        <f t="shared" si="90"/>
        <v/>
      </c>
      <c r="AV32" s="9" t="str">
        <f t="shared" si="90"/>
        <v/>
      </c>
      <c r="AW32" s="9" t="str">
        <f t="shared" si="90"/>
        <v/>
      </c>
      <c r="AX32" s="9" t="str">
        <f t="shared" si="90"/>
        <v/>
      </c>
      <c r="AY32" s="9" t="str">
        <f t="shared" si="90"/>
        <v/>
      </c>
      <c r="AZ32" s="9" t="str">
        <f t="shared" si="90"/>
        <v/>
      </c>
      <c r="BA32" s="9" t="str">
        <f t="shared" si="90"/>
        <v/>
      </c>
      <c r="BB32" s="9" t="str">
        <f t="shared" si="90"/>
        <v/>
      </c>
      <c r="BC32" s="9" t="str">
        <f t="shared" si="90"/>
        <v/>
      </c>
      <c r="BD32" s="9" t="str">
        <f t="shared" si="90"/>
        <v/>
      </c>
      <c r="BE32" s="9" t="str">
        <f t="shared" si="90"/>
        <v/>
      </c>
    </row>
    <row r="33" spans="1:57" s="163" customFormat="1" x14ac:dyDescent="0.25">
      <c r="A33" s="162" t="s">
        <v>565</v>
      </c>
      <c r="C33" s="9">
        <f t="shared" ref="C33:BE33" si="91">IF(C27&lt;&gt;"",HLOOKUP(C27,$1:$17,17,FALSE),"")</f>
        <v>3.6866359447004609</v>
      </c>
      <c r="D33" s="9" t="str">
        <f t="shared" si="91"/>
        <v/>
      </c>
      <c r="E33" s="9" t="str">
        <f t="shared" si="91"/>
        <v/>
      </c>
      <c r="F33" s="9" t="str">
        <f t="shared" si="91"/>
        <v/>
      </c>
      <c r="G33" s="9" t="str">
        <f t="shared" si="91"/>
        <v/>
      </c>
      <c r="H33" s="9" t="str">
        <f t="shared" si="91"/>
        <v/>
      </c>
      <c r="I33" s="9" t="str">
        <f t="shared" si="91"/>
        <v/>
      </c>
      <c r="J33" s="9" t="str">
        <f t="shared" si="91"/>
        <v/>
      </c>
      <c r="K33" s="9" t="str">
        <f t="shared" si="91"/>
        <v/>
      </c>
      <c r="L33" s="9" t="str">
        <f t="shared" si="91"/>
        <v/>
      </c>
      <c r="M33" s="9" t="str">
        <f t="shared" si="91"/>
        <v/>
      </c>
      <c r="N33" s="9" t="str">
        <f t="shared" si="91"/>
        <v/>
      </c>
      <c r="O33" s="9" t="str">
        <f t="shared" si="91"/>
        <v/>
      </c>
      <c r="P33" s="9" t="str">
        <f t="shared" si="91"/>
        <v/>
      </c>
      <c r="Q33" s="9" t="str">
        <f t="shared" si="91"/>
        <v/>
      </c>
      <c r="R33" s="9" t="str">
        <f t="shared" si="91"/>
        <v/>
      </c>
      <c r="S33" s="9" t="str">
        <f t="shared" si="91"/>
        <v/>
      </c>
      <c r="T33" s="9" t="str">
        <f t="shared" si="91"/>
        <v/>
      </c>
      <c r="U33" s="9" t="str">
        <f t="shared" si="91"/>
        <v/>
      </c>
      <c r="V33" s="9" t="str">
        <f t="shared" si="91"/>
        <v/>
      </c>
      <c r="W33" s="9" t="str">
        <f t="shared" si="91"/>
        <v/>
      </c>
      <c r="X33" s="9" t="str">
        <f t="shared" si="91"/>
        <v/>
      </c>
      <c r="Y33" s="9" t="str">
        <f t="shared" si="91"/>
        <v/>
      </c>
      <c r="Z33" s="9" t="str">
        <f t="shared" si="91"/>
        <v/>
      </c>
      <c r="AA33" s="9" t="str">
        <f t="shared" si="91"/>
        <v/>
      </c>
      <c r="AB33" s="9" t="str">
        <f t="shared" si="91"/>
        <v/>
      </c>
      <c r="AC33" s="9" t="str">
        <f t="shared" si="91"/>
        <v/>
      </c>
      <c r="AD33" s="9">
        <f t="shared" si="91"/>
        <v>5.3908355795148246</v>
      </c>
      <c r="AE33" s="9" t="str">
        <f t="shared" si="91"/>
        <v/>
      </c>
      <c r="AF33" s="9" t="str">
        <f t="shared" si="91"/>
        <v/>
      </c>
      <c r="AG33" s="9" t="str">
        <f t="shared" si="91"/>
        <v/>
      </c>
      <c r="AH33" s="9" t="str">
        <f t="shared" si="91"/>
        <v/>
      </c>
      <c r="AI33" s="9" t="str">
        <f t="shared" si="91"/>
        <v/>
      </c>
      <c r="AJ33" s="9" t="str">
        <f t="shared" si="91"/>
        <v/>
      </c>
      <c r="AK33" s="9" t="str">
        <f t="shared" si="91"/>
        <v/>
      </c>
      <c r="AL33" s="9" t="str">
        <f t="shared" si="91"/>
        <v/>
      </c>
      <c r="AM33" s="9" t="str">
        <f t="shared" si="91"/>
        <v/>
      </c>
      <c r="AN33" s="9" t="str">
        <f t="shared" si="91"/>
        <v/>
      </c>
      <c r="AO33" s="9" t="str">
        <f t="shared" si="91"/>
        <v/>
      </c>
      <c r="AP33" s="9" t="str">
        <f t="shared" si="91"/>
        <v/>
      </c>
      <c r="AQ33" s="9" t="str">
        <f t="shared" si="91"/>
        <v/>
      </c>
      <c r="AR33" s="9" t="str">
        <f t="shared" si="91"/>
        <v/>
      </c>
      <c r="AS33" s="9" t="str">
        <f t="shared" si="91"/>
        <v/>
      </c>
      <c r="AT33" s="9" t="str">
        <f t="shared" si="91"/>
        <v/>
      </c>
      <c r="AU33" s="9" t="str">
        <f t="shared" si="91"/>
        <v/>
      </c>
      <c r="AV33" s="9" t="str">
        <f t="shared" si="91"/>
        <v/>
      </c>
      <c r="AW33" s="9" t="str">
        <f t="shared" si="91"/>
        <v/>
      </c>
      <c r="AX33" s="9" t="str">
        <f t="shared" si="91"/>
        <v/>
      </c>
      <c r="AY33" s="9" t="str">
        <f t="shared" si="91"/>
        <v/>
      </c>
      <c r="AZ33" s="9" t="str">
        <f t="shared" si="91"/>
        <v/>
      </c>
      <c r="BA33" s="9" t="str">
        <f t="shared" si="91"/>
        <v/>
      </c>
      <c r="BB33" s="9" t="str">
        <f t="shared" si="91"/>
        <v/>
      </c>
      <c r="BC33" s="9" t="str">
        <f t="shared" si="91"/>
        <v/>
      </c>
      <c r="BD33" s="9" t="str">
        <f t="shared" si="91"/>
        <v/>
      </c>
      <c r="BE33" s="9" t="str">
        <f t="shared" si="91"/>
        <v/>
      </c>
    </row>
    <row r="34" spans="1:57" s="163" customFormat="1" x14ac:dyDescent="0.25">
      <c r="A34" s="162" t="s">
        <v>566</v>
      </c>
      <c r="C34" s="9">
        <f t="shared" ref="C34:BE34" si="92">IF(C28&lt;&gt;"",HLOOKUP(C28,$1:$17,17,FALSE),"")</f>
        <v>41.666666666666671</v>
      </c>
      <c r="D34" s="9" t="str">
        <f t="shared" si="92"/>
        <v/>
      </c>
      <c r="E34" s="9" t="str">
        <f t="shared" si="92"/>
        <v/>
      </c>
      <c r="F34" s="9" t="str">
        <f t="shared" si="92"/>
        <v/>
      </c>
      <c r="G34" s="9" t="str">
        <f t="shared" si="92"/>
        <v/>
      </c>
      <c r="H34" s="9" t="str">
        <f t="shared" si="92"/>
        <v/>
      </c>
      <c r="I34" s="9" t="str">
        <f t="shared" si="92"/>
        <v/>
      </c>
      <c r="J34" s="9" t="str">
        <f t="shared" si="92"/>
        <v/>
      </c>
      <c r="K34" s="9" t="str">
        <f t="shared" si="92"/>
        <v/>
      </c>
      <c r="L34" s="9" t="str">
        <f t="shared" si="92"/>
        <v/>
      </c>
      <c r="M34" s="9" t="str">
        <f t="shared" si="92"/>
        <v/>
      </c>
      <c r="N34" s="9" t="str">
        <f t="shared" si="92"/>
        <v/>
      </c>
      <c r="O34" s="9" t="str">
        <f t="shared" si="92"/>
        <v/>
      </c>
      <c r="P34" s="9" t="str">
        <f t="shared" si="92"/>
        <v/>
      </c>
      <c r="Q34" s="9" t="str">
        <f t="shared" si="92"/>
        <v/>
      </c>
      <c r="R34" s="9" t="str">
        <f t="shared" si="92"/>
        <v/>
      </c>
      <c r="S34" s="9" t="str">
        <f t="shared" si="92"/>
        <v/>
      </c>
      <c r="T34" s="9" t="str">
        <f t="shared" si="92"/>
        <v/>
      </c>
      <c r="U34" s="9" t="str">
        <f t="shared" si="92"/>
        <v/>
      </c>
      <c r="V34" s="9" t="str">
        <f t="shared" si="92"/>
        <v/>
      </c>
      <c r="W34" s="9" t="str">
        <f t="shared" si="92"/>
        <v/>
      </c>
      <c r="X34" s="9" t="str">
        <f t="shared" si="92"/>
        <v/>
      </c>
      <c r="Y34" s="9" t="str">
        <f t="shared" si="92"/>
        <v/>
      </c>
      <c r="Z34" s="9" t="str">
        <f t="shared" si="92"/>
        <v/>
      </c>
      <c r="AA34" s="9" t="str">
        <f t="shared" si="92"/>
        <v/>
      </c>
      <c r="AB34" s="9" t="str">
        <f t="shared" si="92"/>
        <v/>
      </c>
      <c r="AC34" s="9" t="str">
        <f t="shared" si="92"/>
        <v/>
      </c>
      <c r="AD34" s="9">
        <f t="shared" si="92"/>
        <v>183.33333333333334</v>
      </c>
      <c r="AE34" s="9" t="str">
        <f t="shared" si="92"/>
        <v/>
      </c>
      <c r="AF34" s="9" t="str">
        <f t="shared" si="92"/>
        <v/>
      </c>
      <c r="AG34" s="9" t="str">
        <f t="shared" si="92"/>
        <v/>
      </c>
      <c r="AH34" s="9" t="str">
        <f t="shared" si="92"/>
        <v/>
      </c>
      <c r="AI34" s="9" t="str">
        <f t="shared" si="92"/>
        <v/>
      </c>
      <c r="AJ34" s="9" t="str">
        <f t="shared" si="92"/>
        <v/>
      </c>
      <c r="AK34" s="9" t="str">
        <f t="shared" si="92"/>
        <v/>
      </c>
      <c r="AL34" s="9" t="str">
        <f t="shared" si="92"/>
        <v/>
      </c>
      <c r="AM34" s="9" t="str">
        <f t="shared" si="92"/>
        <v/>
      </c>
      <c r="AN34" s="9" t="str">
        <f t="shared" si="92"/>
        <v/>
      </c>
      <c r="AO34" s="9" t="str">
        <f t="shared" si="92"/>
        <v/>
      </c>
      <c r="AP34" s="9" t="str">
        <f t="shared" si="92"/>
        <v/>
      </c>
      <c r="AQ34" s="9" t="str">
        <f t="shared" si="92"/>
        <v/>
      </c>
      <c r="AR34" s="9" t="str">
        <f t="shared" si="92"/>
        <v/>
      </c>
      <c r="AS34" s="9" t="str">
        <f t="shared" si="92"/>
        <v/>
      </c>
      <c r="AT34" s="9" t="str">
        <f t="shared" si="92"/>
        <v/>
      </c>
      <c r="AU34" s="9" t="str">
        <f t="shared" si="92"/>
        <v/>
      </c>
      <c r="AV34" s="9" t="str">
        <f t="shared" si="92"/>
        <v/>
      </c>
      <c r="AW34" s="9" t="str">
        <f t="shared" si="92"/>
        <v/>
      </c>
      <c r="AX34" s="9" t="str">
        <f t="shared" si="92"/>
        <v/>
      </c>
      <c r="AY34" s="9" t="str">
        <f t="shared" si="92"/>
        <v/>
      </c>
      <c r="AZ34" s="9" t="str">
        <f t="shared" si="92"/>
        <v/>
      </c>
      <c r="BA34" s="9" t="str">
        <f t="shared" si="92"/>
        <v/>
      </c>
      <c r="BB34" s="9" t="str">
        <f t="shared" si="92"/>
        <v/>
      </c>
      <c r="BC34" s="9" t="str">
        <f t="shared" si="92"/>
        <v/>
      </c>
      <c r="BD34" s="9" t="str">
        <f t="shared" si="92"/>
        <v/>
      </c>
      <c r="BE34" s="9" t="str">
        <f t="shared" si="92"/>
        <v/>
      </c>
    </row>
    <row r="35" spans="1:57" s="13" customFormat="1" ht="7.5" customHeight="1" x14ac:dyDescent="0.25">
      <c r="A35" s="159"/>
      <c r="B35" s="158"/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8"/>
      <c r="AA35" s="158"/>
      <c r="AB35" s="158"/>
      <c r="AC35" s="158"/>
      <c r="AD35" s="158"/>
      <c r="AE35" s="158"/>
      <c r="AF35" s="158"/>
      <c r="AG35" s="158"/>
      <c r="AH35" s="158"/>
      <c r="AI35" s="158"/>
      <c r="AJ35" s="158"/>
      <c r="AK35" s="158"/>
      <c r="AL35" s="158"/>
      <c r="AM35" s="158"/>
      <c r="AN35" s="158"/>
      <c r="AO35" s="158"/>
      <c r="AP35" s="158"/>
      <c r="AQ35" s="158"/>
      <c r="AR35" s="158"/>
      <c r="AS35" s="158"/>
      <c r="AT35" s="158"/>
      <c r="AU35" s="158"/>
      <c r="AV35" s="158"/>
      <c r="AW35" s="158"/>
      <c r="AX35" s="158"/>
      <c r="AY35" s="158"/>
      <c r="AZ35" s="158"/>
      <c r="BA35" s="158"/>
      <c r="BB35" s="158"/>
      <c r="BC35" s="158"/>
      <c r="BD35" s="158"/>
      <c r="BE35" s="158"/>
    </row>
    <row r="36" spans="1:57" s="9" customFormat="1" x14ac:dyDescent="0.25">
      <c r="A36" s="160" t="s">
        <v>582</v>
      </c>
      <c r="B36" s="9">
        <f>SUM(B30:B34,B17)</f>
        <v>3.6866359447004609</v>
      </c>
      <c r="C36" s="9">
        <f t="shared" ref="C36:BE36" si="93">SUM(C30:C34,C17)</f>
        <v>57.64020569447117</v>
      </c>
      <c r="D36" s="9">
        <f t="shared" si="93"/>
        <v>220.80916873791773</v>
      </c>
      <c r="E36" s="9">
        <f t="shared" si="93"/>
        <v>9.0086157211773106</v>
      </c>
      <c r="F36" s="9">
        <f t="shared" si="93"/>
        <v>41.265344664778098</v>
      </c>
      <c r="G36" s="9">
        <f t="shared" si="93"/>
        <v>93.113844669561033</v>
      </c>
      <c r="H36" s="9">
        <f t="shared" si="93"/>
        <v>3.1578947368421053</v>
      </c>
      <c r="I36" s="9">
        <f t="shared" si="93"/>
        <v>8.1184229064282523</v>
      </c>
      <c r="J36" s="9">
        <f t="shared" si="93"/>
        <v>8.4372016668987371</v>
      </c>
      <c r="K36" s="9">
        <f t="shared" si="93"/>
        <v>4.1597337770382694</v>
      </c>
      <c r="L36" s="9">
        <f t="shared" si="93"/>
        <v>2.7686770338240043</v>
      </c>
      <c r="M36" s="9">
        <f t="shared" si="93"/>
        <v>4.0232641178499744</v>
      </c>
      <c r="N36" s="9">
        <f t="shared" si="93"/>
        <v>75</v>
      </c>
      <c r="O36" s="9">
        <f t="shared" si="93"/>
        <v>33.333333333333336</v>
      </c>
      <c r="P36" s="9">
        <f t="shared" si="93"/>
        <v>58.333333333333336</v>
      </c>
      <c r="Q36" s="9">
        <f t="shared" si="93"/>
        <v>33.333333333333336</v>
      </c>
      <c r="R36" s="9">
        <f t="shared" si="93"/>
        <v>50</v>
      </c>
      <c r="S36" s="9">
        <f t="shared" si="93"/>
        <v>38.724168912848157</v>
      </c>
      <c r="T36" s="9">
        <f t="shared" si="93"/>
        <v>2.9850746268656718</v>
      </c>
      <c r="U36" s="9">
        <f t="shared" si="93"/>
        <v>2.9339853300733498</v>
      </c>
      <c r="V36" s="9">
        <f t="shared" si="93"/>
        <v>108.33333333333334</v>
      </c>
      <c r="W36" s="9">
        <f t="shared" si="93"/>
        <v>12.336835424781063</v>
      </c>
      <c r="X36" s="9">
        <f t="shared" si="93"/>
        <v>4.9155145929339481</v>
      </c>
      <c r="Y36" s="9">
        <f t="shared" si="93"/>
        <v>111.70727897532022</v>
      </c>
      <c r="Z36" s="9">
        <f t="shared" si="93"/>
        <v>103.06670074111935</v>
      </c>
      <c r="AA36" s="9">
        <f t="shared" si="93"/>
        <v>3.3846084591857681</v>
      </c>
      <c r="AB36" s="9">
        <f t="shared" si="93"/>
        <v>4.4198895027624312</v>
      </c>
      <c r="AC36" s="9">
        <f t="shared" si="93"/>
        <v>116.66666666666667</v>
      </c>
      <c r="AD36" s="9">
        <f t="shared" si="93"/>
        <v>203.09016691163001</v>
      </c>
      <c r="AE36" s="9">
        <f t="shared" si="93"/>
        <v>196.18514950609554</v>
      </c>
      <c r="AF36" s="9">
        <f t="shared" si="93"/>
        <v>6.3331222292590246</v>
      </c>
      <c r="AG36" s="9">
        <f t="shared" si="93"/>
        <v>78.236209996803709</v>
      </c>
      <c r="AH36" s="9">
        <f t="shared" si="93"/>
        <v>2.6462484488573672</v>
      </c>
      <c r="AI36" s="9">
        <f t="shared" si="93"/>
        <v>7.0247570938514343</v>
      </c>
      <c r="AJ36" s="9">
        <f t="shared" si="93"/>
        <v>183.33333333333334</v>
      </c>
      <c r="AK36" s="9">
        <f t="shared" si="93"/>
        <v>0</v>
      </c>
      <c r="AL36" s="9">
        <f t="shared" si="93"/>
        <v>5.7357080624710379</v>
      </c>
      <c r="AM36" s="9">
        <f t="shared" si="93"/>
        <v>55.735708062471041</v>
      </c>
      <c r="AN36" s="9">
        <f t="shared" si="93"/>
        <v>8.5158034706056132</v>
      </c>
      <c r="AO36" s="9">
        <f t="shared" si="93"/>
        <v>41.666666666666671</v>
      </c>
      <c r="AP36" s="9">
        <f t="shared" si="93"/>
        <v>8.6270075227608007</v>
      </c>
      <c r="AQ36" s="9">
        <f t="shared" si="93"/>
        <v>9.1475400460647869</v>
      </c>
      <c r="AR36" s="9">
        <f t="shared" si="93"/>
        <v>44.581056466302371</v>
      </c>
      <c r="AS36" s="9">
        <f t="shared" si="93"/>
        <v>18.615955101191471</v>
      </c>
      <c r="AT36" s="9">
        <f t="shared" si="93"/>
        <v>100</v>
      </c>
      <c r="AU36" s="9">
        <f t="shared" si="93"/>
        <v>100</v>
      </c>
      <c r="AV36" s="9">
        <f t="shared" si="93"/>
        <v>8.959381124610271</v>
      </c>
      <c r="AW36" s="9">
        <f t="shared" si="93"/>
        <v>10.324813347479845</v>
      </c>
      <c r="AX36" s="9">
        <f t="shared" si="93"/>
        <v>5.342237061769616</v>
      </c>
      <c r="AY36" s="9">
        <f t="shared" si="93"/>
        <v>5.342237061769616</v>
      </c>
      <c r="AZ36" s="9">
        <f t="shared" si="93"/>
        <v>0</v>
      </c>
      <c r="BA36" s="9">
        <f t="shared" si="93"/>
        <v>4.3204320432043204</v>
      </c>
      <c r="BB36" s="9">
        <f t="shared" si="93"/>
        <v>4.0972017440346917</v>
      </c>
      <c r="BC36" s="9">
        <f t="shared" si="93"/>
        <v>1.2351747227520642</v>
      </c>
      <c r="BD36" s="9">
        <f t="shared" si="93"/>
        <v>1.4148232674930235</v>
      </c>
      <c r="BE36" s="9">
        <f t="shared" si="93"/>
        <v>50</v>
      </c>
    </row>
    <row r="37" spans="1:57" s="13" customFormat="1" ht="7.5" customHeight="1" x14ac:dyDescent="0.25">
      <c r="A37" s="159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158"/>
      <c r="AB37" s="158"/>
      <c r="AC37" s="158"/>
      <c r="AD37" s="158"/>
      <c r="AE37" s="158"/>
      <c r="AF37" s="158"/>
      <c r="AG37" s="158"/>
      <c r="AH37" s="158"/>
      <c r="AI37" s="158"/>
      <c r="AJ37" s="158"/>
      <c r="AK37" s="158"/>
      <c r="AL37" s="158"/>
      <c r="AM37" s="158"/>
      <c r="AN37" s="158"/>
      <c r="AO37" s="158"/>
      <c r="AP37" s="158"/>
      <c r="AQ37" s="158"/>
      <c r="AR37" s="158"/>
      <c r="AS37" s="158"/>
      <c r="AT37" s="158"/>
      <c r="AU37" s="158"/>
      <c r="AV37" s="158"/>
      <c r="AW37" s="158"/>
      <c r="AX37" s="158"/>
      <c r="AY37" s="158"/>
      <c r="AZ37" s="158"/>
      <c r="BA37" s="158"/>
      <c r="BB37" s="158"/>
      <c r="BC37" s="158"/>
      <c r="BD37" s="158"/>
      <c r="BE37" s="158"/>
    </row>
    <row r="38" spans="1:57" s="163" customFormat="1" x14ac:dyDescent="0.25">
      <c r="A38" s="162" t="s">
        <v>572</v>
      </c>
      <c r="B38" s="9" t="str">
        <f>IF(B24="","",HLOOKUP(B24,$1:$36,36,FALSE))</f>
        <v/>
      </c>
      <c r="C38" s="9">
        <f t="shared" ref="C38:BE42" si="94">IF(C24="","",HLOOKUP(C24,$1:$36,36,FALSE))</f>
        <v>111.70727897532022</v>
      </c>
      <c r="D38" s="9">
        <f t="shared" si="94"/>
        <v>116.66666666666667</v>
      </c>
      <c r="E38" s="9">
        <f t="shared" si="94"/>
        <v>3.6866359447004609</v>
      </c>
      <c r="F38" s="9">
        <f t="shared" si="94"/>
        <v>33.333333333333336</v>
      </c>
      <c r="G38" s="9">
        <f t="shared" si="94"/>
        <v>33.333333333333336</v>
      </c>
      <c r="H38" s="9" t="str">
        <f t="shared" si="94"/>
        <v/>
      </c>
      <c r="I38" s="9">
        <f t="shared" si="94"/>
        <v>203.09016691163001</v>
      </c>
      <c r="J38" s="9">
        <f t="shared" si="94"/>
        <v>203.09016691163001</v>
      </c>
      <c r="K38" s="9" t="str">
        <f t="shared" si="94"/>
        <v/>
      </c>
      <c r="L38" s="9" t="str">
        <f t="shared" si="94"/>
        <v/>
      </c>
      <c r="M38" s="9">
        <f t="shared" si="94"/>
        <v>2.7686770338240043</v>
      </c>
      <c r="N38" s="9" t="str">
        <f t="shared" si="94"/>
        <v/>
      </c>
      <c r="O38" s="9" t="str">
        <f t="shared" si="94"/>
        <v/>
      </c>
      <c r="P38" s="9" t="str">
        <f t="shared" si="94"/>
        <v/>
      </c>
      <c r="Q38" s="9" t="str">
        <f t="shared" si="94"/>
        <v/>
      </c>
      <c r="R38" s="9" t="str">
        <f t="shared" si="94"/>
        <v/>
      </c>
      <c r="S38" s="9">
        <f t="shared" si="94"/>
        <v>33.333333333333336</v>
      </c>
      <c r="T38" s="9" t="str">
        <f t="shared" si="94"/>
        <v/>
      </c>
      <c r="U38" s="9" t="str">
        <f t="shared" si="94"/>
        <v/>
      </c>
      <c r="V38" s="9" t="str">
        <f t="shared" si="94"/>
        <v/>
      </c>
      <c r="W38" s="9">
        <f t="shared" si="94"/>
        <v>111.70727897532022</v>
      </c>
      <c r="X38" s="9" t="str">
        <f t="shared" si="94"/>
        <v/>
      </c>
      <c r="Y38" s="9">
        <f t="shared" si="94"/>
        <v>108.33333333333334</v>
      </c>
      <c r="Z38" s="9">
        <f t="shared" si="94"/>
        <v>100</v>
      </c>
      <c r="AA38" s="9" t="str">
        <f t="shared" si="94"/>
        <v/>
      </c>
      <c r="AB38" s="9" t="str">
        <f t="shared" si="94"/>
        <v/>
      </c>
      <c r="AC38" s="9" t="str">
        <f t="shared" si="94"/>
        <v/>
      </c>
      <c r="AD38" s="9">
        <f t="shared" si="94"/>
        <v>78.236209996803709</v>
      </c>
      <c r="AE38" s="9">
        <f t="shared" si="94"/>
        <v>183.33333333333334</v>
      </c>
      <c r="AF38" s="9" t="str">
        <f t="shared" si="94"/>
        <v/>
      </c>
      <c r="AG38" s="9">
        <f t="shared" si="94"/>
        <v>75</v>
      </c>
      <c r="AH38" s="9" t="str">
        <f t="shared" si="94"/>
        <v/>
      </c>
      <c r="AI38" s="9" t="str">
        <f t="shared" si="94"/>
        <v/>
      </c>
      <c r="AJ38" s="9" t="str">
        <f t="shared" si="94"/>
        <v/>
      </c>
      <c r="AK38" s="9">
        <f t="shared" si="94"/>
        <v>5.7357080624710379</v>
      </c>
      <c r="AL38" s="9">
        <f t="shared" si="94"/>
        <v>55.735708062471041</v>
      </c>
      <c r="AM38" s="9">
        <f t="shared" si="94"/>
        <v>50</v>
      </c>
      <c r="AN38" s="9">
        <f t="shared" si="94"/>
        <v>2.7686770338240043</v>
      </c>
      <c r="AO38" s="9" t="str">
        <f t="shared" si="94"/>
        <v/>
      </c>
      <c r="AP38" s="9">
        <f t="shared" si="94"/>
        <v>18.615955101191471</v>
      </c>
      <c r="AQ38" s="9">
        <f t="shared" si="94"/>
        <v>78.236209996803709</v>
      </c>
      <c r="AR38" s="9">
        <f t="shared" si="94"/>
        <v>41.666666666666671</v>
      </c>
      <c r="AS38" s="9">
        <f t="shared" si="94"/>
        <v>196.18514950609554</v>
      </c>
      <c r="AT38" s="9" t="str">
        <f t="shared" si="94"/>
        <v/>
      </c>
      <c r="AU38" s="9" t="str">
        <f t="shared" si="94"/>
        <v/>
      </c>
      <c r="AV38" s="9">
        <f t="shared" si="94"/>
        <v>103.06670074111935</v>
      </c>
      <c r="AW38" s="9">
        <f t="shared" si="94"/>
        <v>8.959381124610271</v>
      </c>
      <c r="AX38" s="9" t="str">
        <f t="shared" si="94"/>
        <v/>
      </c>
      <c r="AY38" s="9">
        <f t="shared" si="94"/>
        <v>5.342237061769616</v>
      </c>
      <c r="AZ38" s="9">
        <f t="shared" si="94"/>
        <v>5.342237061769616</v>
      </c>
      <c r="BA38" s="9" t="str">
        <f t="shared" si="94"/>
        <v/>
      </c>
      <c r="BB38" s="9">
        <f t="shared" si="94"/>
        <v>2.6462484488573672</v>
      </c>
      <c r="BC38" s="9" t="str">
        <f t="shared" si="94"/>
        <v/>
      </c>
      <c r="BD38" s="9" t="str">
        <f t="shared" si="94"/>
        <v/>
      </c>
      <c r="BE38" s="9" t="str">
        <f t="shared" si="94"/>
        <v/>
      </c>
    </row>
    <row r="39" spans="1:57" s="163" customFormat="1" x14ac:dyDescent="0.25">
      <c r="A39" s="162" t="s">
        <v>573</v>
      </c>
      <c r="B39" s="9" t="str">
        <f t="shared" ref="B39:Q42" si="95">IF(B25="","",HLOOKUP(B25,$1:$36,36,FALSE))</f>
        <v/>
      </c>
      <c r="C39" s="9">
        <f t="shared" si="95"/>
        <v>4.0972017440346917</v>
      </c>
      <c r="D39" s="9">
        <f t="shared" si="95"/>
        <v>100</v>
      </c>
      <c r="E39" s="9" t="str">
        <f t="shared" si="95"/>
        <v/>
      </c>
      <c r="F39" s="9" t="str">
        <f t="shared" si="95"/>
        <v/>
      </c>
      <c r="G39" s="9">
        <f t="shared" si="95"/>
        <v>58.333333333333336</v>
      </c>
      <c r="H39" s="9" t="str">
        <f t="shared" si="95"/>
        <v/>
      </c>
      <c r="I39" s="9" t="str">
        <f t="shared" si="95"/>
        <v/>
      </c>
      <c r="J39" s="9" t="str">
        <f t="shared" si="95"/>
        <v/>
      </c>
      <c r="K39" s="9" t="str">
        <f t="shared" si="95"/>
        <v/>
      </c>
      <c r="L39" s="9" t="str">
        <f t="shared" si="95"/>
        <v/>
      </c>
      <c r="M39" s="9" t="str">
        <f t="shared" si="95"/>
        <v/>
      </c>
      <c r="N39" s="9" t="str">
        <f t="shared" si="95"/>
        <v/>
      </c>
      <c r="O39" s="9" t="str">
        <f t="shared" si="95"/>
        <v/>
      </c>
      <c r="P39" s="9" t="str">
        <f t="shared" si="95"/>
        <v/>
      </c>
      <c r="Q39" s="9" t="str">
        <f t="shared" si="95"/>
        <v/>
      </c>
      <c r="R39" s="9" t="str">
        <f t="shared" si="94"/>
        <v/>
      </c>
      <c r="S39" s="9" t="str">
        <f t="shared" si="94"/>
        <v/>
      </c>
      <c r="T39" s="9" t="str">
        <f t="shared" si="94"/>
        <v/>
      </c>
      <c r="U39" s="9" t="str">
        <f t="shared" si="94"/>
        <v/>
      </c>
      <c r="V39" s="9" t="str">
        <f t="shared" si="94"/>
        <v/>
      </c>
      <c r="W39" s="9">
        <f t="shared" si="94"/>
        <v>4.0972017440346917</v>
      </c>
      <c r="X39" s="9" t="str">
        <f t="shared" si="94"/>
        <v/>
      </c>
      <c r="Y39" s="9" t="str">
        <f t="shared" si="94"/>
        <v/>
      </c>
      <c r="Z39" s="9" t="str">
        <f t="shared" si="94"/>
        <v/>
      </c>
      <c r="AA39" s="9" t="str">
        <f t="shared" si="94"/>
        <v/>
      </c>
      <c r="AB39" s="9" t="str">
        <f t="shared" si="94"/>
        <v/>
      </c>
      <c r="AC39" s="9" t="str">
        <f t="shared" si="94"/>
        <v/>
      </c>
      <c r="AD39" s="9">
        <f t="shared" si="94"/>
        <v>93.113844669561033</v>
      </c>
      <c r="AE39" s="9" t="str">
        <f t="shared" si="94"/>
        <v/>
      </c>
      <c r="AF39" s="9" t="str">
        <f t="shared" si="94"/>
        <v/>
      </c>
      <c r="AG39" s="9" t="str">
        <f t="shared" si="94"/>
        <v/>
      </c>
      <c r="AH39" s="9" t="str">
        <f t="shared" si="94"/>
        <v/>
      </c>
      <c r="AI39" s="9" t="str">
        <f t="shared" si="94"/>
        <v/>
      </c>
      <c r="AJ39" s="9" t="str">
        <f t="shared" si="94"/>
        <v/>
      </c>
      <c r="AK39" s="9" t="str">
        <f t="shared" si="94"/>
        <v/>
      </c>
      <c r="AL39" s="9" t="str">
        <f t="shared" si="94"/>
        <v/>
      </c>
      <c r="AM39" s="9" t="str">
        <f t="shared" si="94"/>
        <v/>
      </c>
      <c r="AN39" s="9" t="str">
        <f t="shared" si="94"/>
        <v/>
      </c>
      <c r="AO39" s="9" t="str">
        <f t="shared" si="94"/>
        <v/>
      </c>
      <c r="AP39" s="9" t="str">
        <f t="shared" si="94"/>
        <v/>
      </c>
      <c r="AQ39" s="9" t="str">
        <f t="shared" si="94"/>
        <v/>
      </c>
      <c r="AR39" s="9" t="str">
        <f t="shared" si="94"/>
        <v/>
      </c>
      <c r="AS39" s="9" t="str">
        <f t="shared" si="94"/>
        <v/>
      </c>
      <c r="AT39" s="9" t="str">
        <f t="shared" si="94"/>
        <v/>
      </c>
      <c r="AU39" s="9" t="str">
        <f t="shared" si="94"/>
        <v/>
      </c>
      <c r="AV39" s="9" t="str">
        <f t="shared" si="94"/>
        <v/>
      </c>
      <c r="AW39" s="9" t="str">
        <f t="shared" si="94"/>
        <v/>
      </c>
      <c r="AX39" s="9" t="str">
        <f t="shared" si="94"/>
        <v/>
      </c>
      <c r="AY39" s="9" t="str">
        <f t="shared" si="94"/>
        <v/>
      </c>
      <c r="AZ39" s="9" t="str">
        <f t="shared" si="94"/>
        <v/>
      </c>
      <c r="BA39" s="9" t="str">
        <f t="shared" si="94"/>
        <v/>
      </c>
      <c r="BB39" s="9" t="str">
        <f t="shared" si="94"/>
        <v/>
      </c>
      <c r="BC39" s="9" t="str">
        <f t="shared" si="94"/>
        <v/>
      </c>
      <c r="BD39" s="9" t="str">
        <f t="shared" si="94"/>
        <v/>
      </c>
      <c r="BE39" s="9" t="str">
        <f t="shared" si="94"/>
        <v/>
      </c>
    </row>
    <row r="40" spans="1:57" s="163" customFormat="1" x14ac:dyDescent="0.25">
      <c r="A40" s="162" t="s">
        <v>574</v>
      </c>
      <c r="B40" s="9" t="str">
        <f t="shared" si="95"/>
        <v/>
      </c>
      <c r="C40" s="9">
        <f t="shared" si="94"/>
        <v>220.80916873791773</v>
      </c>
      <c r="D40" s="9" t="str">
        <f t="shared" si="94"/>
        <v/>
      </c>
      <c r="E40" s="9" t="str">
        <f t="shared" si="94"/>
        <v/>
      </c>
      <c r="F40" s="9" t="str">
        <f t="shared" si="94"/>
        <v/>
      </c>
      <c r="G40" s="9" t="str">
        <f t="shared" si="94"/>
        <v/>
      </c>
      <c r="H40" s="9" t="str">
        <f t="shared" si="94"/>
        <v/>
      </c>
      <c r="I40" s="9" t="str">
        <f t="shared" si="94"/>
        <v/>
      </c>
      <c r="J40" s="9" t="str">
        <f t="shared" si="94"/>
        <v/>
      </c>
      <c r="K40" s="9" t="str">
        <f t="shared" si="94"/>
        <v/>
      </c>
      <c r="L40" s="9" t="str">
        <f t="shared" si="94"/>
        <v/>
      </c>
      <c r="M40" s="9" t="str">
        <f t="shared" si="94"/>
        <v/>
      </c>
      <c r="N40" s="9" t="str">
        <f t="shared" si="94"/>
        <v/>
      </c>
      <c r="O40" s="9" t="str">
        <f t="shared" si="94"/>
        <v/>
      </c>
      <c r="P40" s="9" t="str">
        <f t="shared" si="94"/>
        <v/>
      </c>
      <c r="Q40" s="9" t="str">
        <f t="shared" si="94"/>
        <v/>
      </c>
      <c r="R40" s="9" t="str">
        <f t="shared" si="94"/>
        <v/>
      </c>
      <c r="S40" s="9" t="str">
        <f t="shared" si="94"/>
        <v/>
      </c>
      <c r="T40" s="9" t="str">
        <f t="shared" si="94"/>
        <v/>
      </c>
      <c r="U40" s="9" t="str">
        <f t="shared" si="94"/>
        <v/>
      </c>
      <c r="V40" s="9" t="str">
        <f t="shared" si="94"/>
        <v/>
      </c>
      <c r="W40" s="9">
        <f t="shared" si="94"/>
        <v>220.80916873791773</v>
      </c>
      <c r="X40" s="9" t="str">
        <f t="shared" si="94"/>
        <v/>
      </c>
      <c r="Y40" s="9" t="str">
        <f t="shared" si="94"/>
        <v/>
      </c>
      <c r="Z40" s="9" t="str">
        <f t="shared" si="94"/>
        <v/>
      </c>
      <c r="AA40" s="9" t="str">
        <f t="shared" si="94"/>
        <v/>
      </c>
      <c r="AB40" s="9" t="str">
        <f t="shared" si="94"/>
        <v/>
      </c>
      <c r="AC40" s="9" t="str">
        <f t="shared" si="94"/>
        <v/>
      </c>
      <c r="AD40" s="9">
        <f t="shared" si="94"/>
        <v>8.959381124610271</v>
      </c>
      <c r="AE40" s="9" t="str">
        <f t="shared" si="94"/>
        <v/>
      </c>
      <c r="AF40" s="9" t="str">
        <f t="shared" si="94"/>
        <v/>
      </c>
      <c r="AG40" s="9" t="str">
        <f t="shared" si="94"/>
        <v/>
      </c>
      <c r="AH40" s="9" t="str">
        <f t="shared" si="94"/>
        <v/>
      </c>
      <c r="AI40" s="9" t="str">
        <f t="shared" si="94"/>
        <v/>
      </c>
      <c r="AJ40" s="9" t="str">
        <f t="shared" si="94"/>
        <v/>
      </c>
      <c r="AK40" s="9" t="str">
        <f t="shared" si="94"/>
        <v/>
      </c>
      <c r="AL40" s="9" t="str">
        <f t="shared" si="94"/>
        <v/>
      </c>
      <c r="AM40" s="9" t="str">
        <f t="shared" si="94"/>
        <v/>
      </c>
      <c r="AN40" s="9" t="str">
        <f t="shared" si="94"/>
        <v/>
      </c>
      <c r="AO40" s="9" t="str">
        <f t="shared" si="94"/>
        <v/>
      </c>
      <c r="AP40" s="9" t="str">
        <f t="shared" si="94"/>
        <v/>
      </c>
      <c r="AQ40" s="9" t="str">
        <f t="shared" si="94"/>
        <v/>
      </c>
      <c r="AR40" s="9" t="str">
        <f t="shared" si="94"/>
        <v/>
      </c>
      <c r="AS40" s="9" t="str">
        <f t="shared" si="94"/>
        <v/>
      </c>
      <c r="AT40" s="9" t="str">
        <f t="shared" si="94"/>
        <v/>
      </c>
      <c r="AU40" s="9" t="str">
        <f t="shared" si="94"/>
        <v/>
      </c>
      <c r="AV40" s="9" t="str">
        <f t="shared" si="94"/>
        <v/>
      </c>
      <c r="AW40" s="9" t="str">
        <f t="shared" si="94"/>
        <v/>
      </c>
      <c r="AX40" s="9" t="str">
        <f t="shared" si="94"/>
        <v/>
      </c>
      <c r="AY40" s="9" t="str">
        <f t="shared" si="94"/>
        <v/>
      </c>
      <c r="AZ40" s="9" t="str">
        <f t="shared" si="94"/>
        <v/>
      </c>
      <c r="BA40" s="9" t="str">
        <f t="shared" si="94"/>
        <v/>
      </c>
      <c r="BB40" s="9" t="str">
        <f t="shared" si="94"/>
        <v/>
      </c>
      <c r="BC40" s="9" t="str">
        <f t="shared" si="94"/>
        <v/>
      </c>
      <c r="BD40" s="9" t="str">
        <f t="shared" si="94"/>
        <v/>
      </c>
      <c r="BE40" s="9" t="str">
        <f t="shared" si="94"/>
        <v/>
      </c>
    </row>
    <row r="41" spans="1:57" s="163" customFormat="1" x14ac:dyDescent="0.25">
      <c r="A41" s="162" t="s">
        <v>575</v>
      </c>
      <c r="B41" s="9" t="str">
        <f t="shared" si="95"/>
        <v/>
      </c>
      <c r="C41" s="9">
        <f t="shared" si="94"/>
        <v>3.6866359447004609</v>
      </c>
      <c r="D41" s="9" t="str">
        <f t="shared" si="94"/>
        <v/>
      </c>
      <c r="E41" s="9" t="str">
        <f t="shared" si="94"/>
        <v/>
      </c>
      <c r="F41" s="9" t="str">
        <f t="shared" si="94"/>
        <v/>
      </c>
      <c r="G41" s="9" t="str">
        <f t="shared" si="94"/>
        <v/>
      </c>
      <c r="H41" s="9" t="str">
        <f t="shared" si="94"/>
        <v/>
      </c>
      <c r="I41" s="9" t="str">
        <f t="shared" si="94"/>
        <v/>
      </c>
      <c r="J41" s="9" t="str">
        <f t="shared" si="94"/>
        <v/>
      </c>
      <c r="K41" s="9" t="str">
        <f t="shared" si="94"/>
        <v/>
      </c>
      <c r="L41" s="9" t="str">
        <f t="shared" si="94"/>
        <v/>
      </c>
      <c r="M41" s="9" t="str">
        <f t="shared" si="94"/>
        <v/>
      </c>
      <c r="N41" s="9" t="str">
        <f t="shared" si="94"/>
        <v/>
      </c>
      <c r="O41" s="9" t="str">
        <f t="shared" si="94"/>
        <v/>
      </c>
      <c r="P41" s="9" t="str">
        <f t="shared" si="94"/>
        <v/>
      </c>
      <c r="Q41" s="9" t="str">
        <f t="shared" si="94"/>
        <v/>
      </c>
      <c r="R41" s="9" t="str">
        <f t="shared" si="94"/>
        <v/>
      </c>
      <c r="S41" s="9" t="str">
        <f t="shared" si="94"/>
        <v/>
      </c>
      <c r="T41" s="9" t="str">
        <f t="shared" si="94"/>
        <v/>
      </c>
      <c r="U41" s="9" t="str">
        <f t="shared" si="94"/>
        <v/>
      </c>
      <c r="V41" s="9" t="str">
        <f t="shared" si="94"/>
        <v/>
      </c>
      <c r="W41" s="9" t="str">
        <f t="shared" si="94"/>
        <v/>
      </c>
      <c r="X41" s="9" t="str">
        <f t="shared" si="94"/>
        <v/>
      </c>
      <c r="Y41" s="9" t="str">
        <f t="shared" si="94"/>
        <v/>
      </c>
      <c r="Z41" s="9" t="str">
        <f t="shared" si="94"/>
        <v/>
      </c>
      <c r="AA41" s="9" t="str">
        <f t="shared" si="94"/>
        <v/>
      </c>
      <c r="AB41" s="9" t="str">
        <f t="shared" si="94"/>
        <v/>
      </c>
      <c r="AC41" s="9" t="str">
        <f t="shared" si="94"/>
        <v/>
      </c>
      <c r="AD41" s="9">
        <f t="shared" si="94"/>
        <v>38.724168912848157</v>
      </c>
      <c r="AE41" s="9" t="str">
        <f t="shared" si="94"/>
        <v/>
      </c>
      <c r="AF41" s="9" t="str">
        <f t="shared" si="94"/>
        <v/>
      </c>
      <c r="AG41" s="9" t="str">
        <f t="shared" si="94"/>
        <v/>
      </c>
      <c r="AH41" s="9" t="str">
        <f t="shared" si="94"/>
        <v/>
      </c>
      <c r="AI41" s="9" t="str">
        <f t="shared" si="94"/>
        <v/>
      </c>
      <c r="AJ41" s="9" t="str">
        <f t="shared" si="94"/>
        <v/>
      </c>
      <c r="AK41" s="9" t="str">
        <f t="shared" si="94"/>
        <v/>
      </c>
      <c r="AL41" s="9" t="str">
        <f t="shared" si="94"/>
        <v/>
      </c>
      <c r="AM41" s="9" t="str">
        <f t="shared" si="94"/>
        <v/>
      </c>
      <c r="AN41" s="9" t="str">
        <f t="shared" si="94"/>
        <v/>
      </c>
      <c r="AO41" s="9" t="str">
        <f t="shared" si="94"/>
        <v/>
      </c>
      <c r="AP41" s="9" t="str">
        <f t="shared" si="94"/>
        <v/>
      </c>
      <c r="AQ41" s="9" t="str">
        <f t="shared" si="94"/>
        <v/>
      </c>
      <c r="AR41" s="9" t="str">
        <f t="shared" si="94"/>
        <v/>
      </c>
      <c r="AS41" s="9" t="str">
        <f t="shared" si="94"/>
        <v/>
      </c>
      <c r="AT41" s="9" t="str">
        <f t="shared" si="94"/>
        <v/>
      </c>
      <c r="AU41" s="9" t="str">
        <f t="shared" si="94"/>
        <v/>
      </c>
      <c r="AV41" s="9" t="str">
        <f t="shared" si="94"/>
        <v/>
      </c>
      <c r="AW41" s="9" t="str">
        <f t="shared" si="94"/>
        <v/>
      </c>
      <c r="AX41" s="9" t="str">
        <f t="shared" si="94"/>
        <v/>
      </c>
      <c r="AY41" s="9" t="str">
        <f t="shared" si="94"/>
        <v/>
      </c>
      <c r="AZ41" s="9" t="str">
        <f t="shared" si="94"/>
        <v/>
      </c>
      <c r="BA41" s="9" t="str">
        <f t="shared" si="94"/>
        <v/>
      </c>
      <c r="BB41" s="9" t="str">
        <f t="shared" si="94"/>
        <v/>
      </c>
      <c r="BC41" s="9" t="str">
        <f t="shared" si="94"/>
        <v/>
      </c>
      <c r="BD41" s="9" t="str">
        <f t="shared" si="94"/>
        <v/>
      </c>
      <c r="BE41" s="9" t="str">
        <f t="shared" si="94"/>
        <v/>
      </c>
    </row>
    <row r="42" spans="1:57" s="163" customFormat="1" x14ac:dyDescent="0.25">
      <c r="A42" s="162" t="s">
        <v>576</v>
      </c>
      <c r="B42" s="9" t="str">
        <f t="shared" si="95"/>
        <v/>
      </c>
      <c r="C42" s="9">
        <f t="shared" si="94"/>
        <v>41.666666666666671</v>
      </c>
      <c r="D42" s="9" t="str">
        <f t="shared" si="94"/>
        <v/>
      </c>
      <c r="E42" s="9" t="str">
        <f t="shared" si="94"/>
        <v/>
      </c>
      <c r="F42" s="9" t="str">
        <f t="shared" si="94"/>
        <v/>
      </c>
      <c r="G42" s="9" t="str">
        <f t="shared" si="94"/>
        <v/>
      </c>
      <c r="H42" s="9" t="str">
        <f t="shared" si="94"/>
        <v/>
      </c>
      <c r="I42" s="9" t="str">
        <f t="shared" si="94"/>
        <v/>
      </c>
      <c r="J42" s="9" t="str">
        <f t="shared" si="94"/>
        <v/>
      </c>
      <c r="K42" s="9" t="str">
        <f t="shared" si="94"/>
        <v/>
      </c>
      <c r="L42" s="9" t="str">
        <f t="shared" si="94"/>
        <v/>
      </c>
      <c r="M42" s="9" t="str">
        <f t="shared" si="94"/>
        <v/>
      </c>
      <c r="N42" s="9" t="str">
        <f t="shared" si="94"/>
        <v/>
      </c>
      <c r="O42" s="9" t="str">
        <f t="shared" si="94"/>
        <v/>
      </c>
      <c r="P42" s="9" t="str">
        <f t="shared" si="94"/>
        <v/>
      </c>
      <c r="Q42" s="9" t="str">
        <f t="shared" si="94"/>
        <v/>
      </c>
      <c r="R42" s="9" t="str">
        <f t="shared" si="94"/>
        <v/>
      </c>
      <c r="S42" s="9" t="str">
        <f t="shared" si="94"/>
        <v/>
      </c>
      <c r="T42" s="9" t="str">
        <f t="shared" si="94"/>
        <v/>
      </c>
      <c r="U42" s="9" t="str">
        <f t="shared" si="94"/>
        <v/>
      </c>
      <c r="V42" s="9" t="str">
        <f t="shared" si="94"/>
        <v/>
      </c>
      <c r="W42" s="9" t="str">
        <f t="shared" si="94"/>
        <v/>
      </c>
      <c r="X42" s="9" t="str">
        <f t="shared" si="94"/>
        <v/>
      </c>
      <c r="Y42" s="9" t="str">
        <f t="shared" si="94"/>
        <v/>
      </c>
      <c r="Z42" s="9" t="str">
        <f t="shared" si="94"/>
        <v/>
      </c>
      <c r="AA42" s="9" t="str">
        <f t="shared" si="94"/>
        <v/>
      </c>
      <c r="AB42" s="9" t="str">
        <f t="shared" si="94"/>
        <v/>
      </c>
      <c r="AC42" s="9" t="str">
        <f t="shared" si="94"/>
        <v/>
      </c>
      <c r="AD42" s="9">
        <f t="shared" si="94"/>
        <v>183.33333333333334</v>
      </c>
      <c r="AE42" s="9" t="str">
        <f t="shared" si="94"/>
        <v/>
      </c>
      <c r="AF42" s="9" t="str">
        <f t="shared" si="94"/>
        <v/>
      </c>
      <c r="AG42" s="9" t="str">
        <f t="shared" si="94"/>
        <v/>
      </c>
      <c r="AH42" s="9" t="str">
        <f t="shared" si="94"/>
        <v/>
      </c>
      <c r="AI42" s="9" t="str">
        <f t="shared" si="94"/>
        <v/>
      </c>
      <c r="AJ42" s="9" t="str">
        <f t="shared" si="94"/>
        <v/>
      </c>
      <c r="AK42" s="9" t="str">
        <f t="shared" si="94"/>
        <v/>
      </c>
      <c r="AL42" s="9" t="str">
        <f t="shared" si="94"/>
        <v/>
      </c>
      <c r="AM42" s="9" t="str">
        <f t="shared" si="94"/>
        <v/>
      </c>
      <c r="AN42" s="9" t="str">
        <f t="shared" si="94"/>
        <v/>
      </c>
      <c r="AO42" s="9" t="str">
        <f t="shared" si="94"/>
        <v/>
      </c>
      <c r="AP42" s="9" t="str">
        <f t="shared" si="94"/>
        <v/>
      </c>
      <c r="AQ42" s="9" t="str">
        <f t="shared" si="94"/>
        <v/>
      </c>
      <c r="AR42" s="9" t="str">
        <f t="shared" si="94"/>
        <v/>
      </c>
      <c r="AS42" s="9" t="str">
        <f t="shared" si="94"/>
        <v/>
      </c>
      <c r="AT42" s="9" t="str">
        <f t="shared" si="94"/>
        <v/>
      </c>
      <c r="AU42" s="9" t="str">
        <f t="shared" si="94"/>
        <v/>
      </c>
      <c r="AV42" s="9" t="str">
        <f t="shared" si="94"/>
        <v/>
      </c>
      <c r="AW42" s="9" t="str">
        <f t="shared" si="94"/>
        <v/>
      </c>
      <c r="AX42" s="9" t="str">
        <f t="shared" si="94"/>
        <v/>
      </c>
      <c r="AY42" s="9" t="str">
        <f t="shared" si="94"/>
        <v/>
      </c>
      <c r="AZ42" s="9" t="str">
        <f t="shared" si="94"/>
        <v/>
      </c>
      <c r="BA42" s="9" t="str">
        <f t="shared" ref="BA42:BE42" si="96">IF(BA28="","",HLOOKUP(BA28,$1:$36,36,FALSE))</f>
        <v/>
      </c>
      <c r="BB42" s="9" t="str">
        <f t="shared" si="96"/>
        <v/>
      </c>
      <c r="BC42" s="9" t="str">
        <f t="shared" si="96"/>
        <v/>
      </c>
      <c r="BD42" s="9" t="str">
        <f t="shared" si="96"/>
        <v/>
      </c>
      <c r="BE42" s="9" t="str">
        <f t="shared" si="96"/>
        <v/>
      </c>
    </row>
    <row r="43" spans="1:57" s="163" customFormat="1" x14ac:dyDescent="0.25">
      <c r="A43" s="162" t="s">
        <v>583</v>
      </c>
      <c r="B43" s="9">
        <f>SUM(B38:B42,B17)</f>
        <v>3.6866359447004609</v>
      </c>
      <c r="C43" s="9">
        <f t="shared" ref="C43:BE43" si="97">SUM(C38:C42,C17)</f>
        <v>385.28645414332857</v>
      </c>
      <c r="D43" s="9">
        <f t="shared" si="97"/>
        <v>220.80916873791773</v>
      </c>
      <c r="E43" s="9">
        <f t="shared" si="97"/>
        <v>9.0086157211773106</v>
      </c>
      <c r="F43" s="9">
        <f t="shared" si="97"/>
        <v>41.265344664778098</v>
      </c>
      <c r="G43" s="9">
        <f t="shared" si="97"/>
        <v>93.113844669561033</v>
      </c>
      <c r="H43" s="9">
        <f t="shared" si="97"/>
        <v>3.1578947368421053</v>
      </c>
      <c r="I43" s="9">
        <f t="shared" si="97"/>
        <v>207.41866020246542</v>
      </c>
      <c r="J43" s="9">
        <f t="shared" si="97"/>
        <v>207.7374389629359</v>
      </c>
      <c r="K43" s="9">
        <f t="shared" si="97"/>
        <v>4.1597337770382694</v>
      </c>
      <c r="L43" s="9">
        <f t="shared" si="97"/>
        <v>2.7686770338240043</v>
      </c>
      <c r="M43" s="9">
        <f t="shared" si="97"/>
        <v>4.0232641178499744</v>
      </c>
      <c r="N43" s="9">
        <f t="shared" si="97"/>
        <v>75</v>
      </c>
      <c r="O43" s="9">
        <f t="shared" si="97"/>
        <v>33.333333333333336</v>
      </c>
      <c r="P43" s="9">
        <f t="shared" si="97"/>
        <v>58.333333333333336</v>
      </c>
      <c r="Q43" s="9">
        <f t="shared" si="97"/>
        <v>33.333333333333336</v>
      </c>
      <c r="R43" s="9">
        <f t="shared" si="97"/>
        <v>50</v>
      </c>
      <c r="S43" s="9">
        <f t="shared" si="97"/>
        <v>38.724168912848157</v>
      </c>
      <c r="T43" s="9">
        <f t="shared" si="97"/>
        <v>2.9850746268656718</v>
      </c>
      <c r="U43" s="9">
        <f t="shared" si="97"/>
        <v>2.9339853300733498</v>
      </c>
      <c r="V43" s="9">
        <f t="shared" si="97"/>
        <v>108.33333333333334</v>
      </c>
      <c r="W43" s="9">
        <f t="shared" si="97"/>
        <v>339.98308387363846</v>
      </c>
      <c r="X43" s="9">
        <f t="shared" si="97"/>
        <v>4.9155145929339481</v>
      </c>
      <c r="Y43" s="9">
        <f t="shared" si="97"/>
        <v>111.70727897532022</v>
      </c>
      <c r="Z43" s="9">
        <f t="shared" si="97"/>
        <v>103.06670074111935</v>
      </c>
      <c r="AA43" s="9">
        <f t="shared" si="97"/>
        <v>3.3846084591857681</v>
      </c>
      <c r="AB43" s="9">
        <f t="shared" si="97"/>
        <v>4.4198895027624312</v>
      </c>
      <c r="AC43" s="9">
        <f t="shared" si="97"/>
        <v>116.66666666666667</v>
      </c>
      <c r="AD43" s="9">
        <f t="shared" si="97"/>
        <v>406.15686765274933</v>
      </c>
      <c r="AE43" s="9">
        <f t="shared" si="97"/>
        <v>196.18514950609554</v>
      </c>
      <c r="AF43" s="9">
        <f t="shared" si="97"/>
        <v>6.3331222292590246</v>
      </c>
      <c r="AG43" s="9">
        <f t="shared" si="97"/>
        <v>78.236209996803709</v>
      </c>
      <c r="AH43" s="9">
        <f t="shared" si="97"/>
        <v>2.6462484488573672</v>
      </c>
      <c r="AI43" s="9">
        <f t="shared" si="97"/>
        <v>7.0247570938514343</v>
      </c>
      <c r="AJ43" s="9">
        <f t="shared" si="97"/>
        <v>183.33333333333334</v>
      </c>
      <c r="AK43" s="9">
        <f t="shared" si="97"/>
        <v>5.7357080624710379</v>
      </c>
      <c r="AL43" s="9">
        <f t="shared" si="97"/>
        <v>55.735708062471041</v>
      </c>
      <c r="AM43" s="9">
        <f t="shared" si="97"/>
        <v>55.735708062471041</v>
      </c>
      <c r="AN43" s="9">
        <f t="shared" si="97"/>
        <v>8.5158034706056132</v>
      </c>
      <c r="AO43" s="9">
        <f t="shared" si="97"/>
        <v>41.666666666666671</v>
      </c>
      <c r="AP43" s="9">
        <f t="shared" si="97"/>
        <v>21.478823695522991</v>
      </c>
      <c r="AQ43" s="9">
        <f t="shared" si="97"/>
        <v>84.14754004606479</v>
      </c>
      <c r="AR43" s="9">
        <f t="shared" si="97"/>
        <v>44.581056466302371</v>
      </c>
      <c r="AS43" s="9">
        <f t="shared" si="97"/>
        <v>201.94928843452482</v>
      </c>
      <c r="AT43" s="9">
        <f t="shared" si="97"/>
        <v>100</v>
      </c>
      <c r="AU43" s="9">
        <f t="shared" si="97"/>
        <v>100</v>
      </c>
      <c r="AV43" s="9">
        <f t="shared" si="97"/>
        <v>108.95938112461027</v>
      </c>
      <c r="AW43" s="9">
        <f t="shared" si="97"/>
        <v>13.391514088599191</v>
      </c>
      <c r="AX43" s="9">
        <f t="shared" si="97"/>
        <v>5.342237061769616</v>
      </c>
      <c r="AY43" s="9">
        <f t="shared" si="97"/>
        <v>5.342237061769616</v>
      </c>
      <c r="AZ43" s="9">
        <f t="shared" si="97"/>
        <v>5.342237061769616</v>
      </c>
      <c r="BA43" s="9">
        <f t="shared" si="97"/>
        <v>4.3204320432043204</v>
      </c>
      <c r="BB43" s="9">
        <f t="shared" si="97"/>
        <v>4.0972017440346917</v>
      </c>
      <c r="BC43" s="9">
        <f t="shared" si="97"/>
        <v>1.2351747227520642</v>
      </c>
      <c r="BD43" s="9">
        <f t="shared" si="97"/>
        <v>1.4148232674930235</v>
      </c>
      <c r="BE43" s="9">
        <f t="shared" si="97"/>
        <v>50</v>
      </c>
    </row>
    <row r="44" spans="1:57" s="164" customFormat="1" ht="7.5" customHeight="1" x14ac:dyDescent="0.25">
      <c r="A44" s="162"/>
      <c r="B44" s="165"/>
      <c r="C44" s="165"/>
      <c r="D44" s="165"/>
      <c r="E44" s="165"/>
      <c r="F44" s="165"/>
      <c r="G44" s="165"/>
      <c r="H44" s="165"/>
      <c r="I44" s="165"/>
      <c r="J44" s="165"/>
      <c r="K44" s="165"/>
      <c r="L44" s="165"/>
      <c r="M44" s="165"/>
      <c r="N44" s="165"/>
      <c r="O44" s="165"/>
      <c r="P44" s="165"/>
      <c r="Q44" s="165"/>
      <c r="R44" s="165"/>
      <c r="S44" s="165"/>
      <c r="T44" s="165"/>
      <c r="U44" s="165"/>
      <c r="V44" s="165"/>
      <c r="W44" s="165"/>
      <c r="X44" s="165"/>
      <c r="Y44" s="165"/>
      <c r="Z44" s="165"/>
      <c r="AA44" s="165"/>
      <c r="AB44" s="165"/>
      <c r="AC44" s="165"/>
      <c r="AD44" s="165"/>
      <c r="AE44" s="165"/>
      <c r="AF44" s="165"/>
      <c r="AG44" s="165"/>
      <c r="AH44" s="165"/>
      <c r="AI44" s="165"/>
      <c r="AJ44" s="165"/>
      <c r="AK44" s="165"/>
      <c r="AL44" s="165"/>
      <c r="AM44" s="165"/>
      <c r="AN44" s="165"/>
      <c r="AO44" s="165"/>
      <c r="AP44" s="165"/>
      <c r="AQ44" s="165"/>
      <c r="AR44" s="165"/>
      <c r="AS44" s="165"/>
      <c r="AT44" s="165"/>
      <c r="AU44" s="165"/>
      <c r="AV44" s="165"/>
      <c r="AW44" s="165"/>
      <c r="AX44" s="165"/>
      <c r="AY44" s="165"/>
      <c r="AZ44" s="165"/>
      <c r="BA44" s="165"/>
      <c r="BB44" s="165"/>
      <c r="BC44" s="165"/>
      <c r="BD44" s="165"/>
      <c r="BE44" s="165"/>
    </row>
    <row r="45" spans="1:57" s="163" customFormat="1" x14ac:dyDescent="0.25">
      <c r="A45" s="162" t="s">
        <v>577</v>
      </c>
      <c r="B45" s="9" t="str">
        <f t="shared" ref="B45" si="98">IF(B24="","",HLOOKUP(B24,$1:$43,43,FALSE))</f>
        <v/>
      </c>
      <c r="C45" s="9">
        <f>IF(C24="","",HLOOKUP(C24,$1:$43,43,FALSE))</f>
        <v>111.70727897532022</v>
      </c>
      <c r="D45" s="9">
        <f t="shared" ref="D45:BE45" si="99">IF(D24="","",HLOOKUP(D24,$1:$43,43,FALSE))</f>
        <v>116.66666666666667</v>
      </c>
      <c r="E45" s="9">
        <f t="shared" si="99"/>
        <v>3.6866359447004609</v>
      </c>
      <c r="F45" s="9">
        <f t="shared" si="99"/>
        <v>33.333333333333336</v>
      </c>
      <c r="G45" s="9">
        <f t="shared" si="99"/>
        <v>33.333333333333336</v>
      </c>
      <c r="H45" s="9" t="str">
        <f t="shared" si="99"/>
        <v/>
      </c>
      <c r="I45" s="9">
        <f t="shared" si="99"/>
        <v>406.15686765274933</v>
      </c>
      <c r="J45" s="9">
        <f t="shared" si="99"/>
        <v>406.15686765274933</v>
      </c>
      <c r="K45" s="9" t="str">
        <f t="shared" si="99"/>
        <v/>
      </c>
      <c r="L45" s="9" t="str">
        <f t="shared" si="99"/>
        <v/>
      </c>
      <c r="M45" s="9">
        <f t="shared" si="99"/>
        <v>2.7686770338240043</v>
      </c>
      <c r="N45" s="9" t="str">
        <f t="shared" si="99"/>
        <v/>
      </c>
      <c r="O45" s="9" t="str">
        <f t="shared" si="99"/>
        <v/>
      </c>
      <c r="P45" s="9" t="str">
        <f t="shared" si="99"/>
        <v/>
      </c>
      <c r="Q45" s="9" t="str">
        <f t="shared" si="99"/>
        <v/>
      </c>
      <c r="R45" s="9" t="str">
        <f t="shared" si="99"/>
        <v/>
      </c>
      <c r="S45" s="9">
        <f t="shared" si="99"/>
        <v>33.333333333333336</v>
      </c>
      <c r="T45" s="9" t="str">
        <f t="shared" si="99"/>
        <v/>
      </c>
      <c r="U45" s="9" t="str">
        <f t="shared" si="99"/>
        <v/>
      </c>
      <c r="V45" s="9" t="str">
        <f t="shared" si="99"/>
        <v/>
      </c>
      <c r="W45" s="9">
        <f t="shared" si="99"/>
        <v>111.70727897532022</v>
      </c>
      <c r="X45" s="9" t="str">
        <f t="shared" si="99"/>
        <v/>
      </c>
      <c r="Y45" s="9">
        <f t="shared" si="99"/>
        <v>108.33333333333334</v>
      </c>
      <c r="Z45" s="9">
        <f t="shared" si="99"/>
        <v>100</v>
      </c>
      <c r="AA45" s="9" t="str">
        <f t="shared" si="99"/>
        <v/>
      </c>
      <c r="AB45" s="9" t="str">
        <f t="shared" si="99"/>
        <v/>
      </c>
      <c r="AC45" s="9" t="str">
        <f t="shared" si="99"/>
        <v/>
      </c>
      <c r="AD45" s="9">
        <f t="shared" si="99"/>
        <v>78.236209996803709</v>
      </c>
      <c r="AE45" s="9">
        <f t="shared" si="99"/>
        <v>183.33333333333334</v>
      </c>
      <c r="AF45" s="9" t="str">
        <f t="shared" si="99"/>
        <v/>
      </c>
      <c r="AG45" s="9">
        <f t="shared" si="99"/>
        <v>75</v>
      </c>
      <c r="AH45" s="9" t="str">
        <f t="shared" si="99"/>
        <v/>
      </c>
      <c r="AI45" s="9" t="str">
        <f t="shared" si="99"/>
        <v/>
      </c>
      <c r="AJ45" s="9" t="str">
        <f t="shared" si="99"/>
        <v/>
      </c>
      <c r="AK45" s="9">
        <f t="shared" si="99"/>
        <v>55.735708062471041</v>
      </c>
      <c r="AL45" s="9">
        <f t="shared" si="99"/>
        <v>55.735708062471041</v>
      </c>
      <c r="AM45" s="9">
        <f t="shared" si="99"/>
        <v>50</v>
      </c>
      <c r="AN45" s="9">
        <f t="shared" si="99"/>
        <v>2.7686770338240043</v>
      </c>
      <c r="AO45" s="9" t="str">
        <f t="shared" si="99"/>
        <v/>
      </c>
      <c r="AP45" s="9">
        <f t="shared" si="99"/>
        <v>201.94928843452482</v>
      </c>
      <c r="AQ45" s="9">
        <f t="shared" si="99"/>
        <v>78.236209996803709</v>
      </c>
      <c r="AR45" s="9">
        <f t="shared" si="99"/>
        <v>41.666666666666671</v>
      </c>
      <c r="AS45" s="9">
        <f t="shared" si="99"/>
        <v>196.18514950609554</v>
      </c>
      <c r="AT45" s="9" t="str">
        <f t="shared" si="99"/>
        <v/>
      </c>
      <c r="AU45" s="9" t="str">
        <f t="shared" si="99"/>
        <v/>
      </c>
      <c r="AV45" s="9">
        <f t="shared" si="99"/>
        <v>103.06670074111935</v>
      </c>
      <c r="AW45" s="9">
        <f t="shared" si="99"/>
        <v>108.95938112461027</v>
      </c>
      <c r="AX45" s="9" t="str">
        <f t="shared" si="99"/>
        <v/>
      </c>
      <c r="AY45" s="9">
        <f t="shared" si="99"/>
        <v>5.342237061769616</v>
      </c>
      <c r="AZ45" s="9">
        <f t="shared" si="99"/>
        <v>5.342237061769616</v>
      </c>
      <c r="BA45" s="9" t="str">
        <f t="shared" si="99"/>
        <v/>
      </c>
      <c r="BB45" s="9">
        <f t="shared" si="99"/>
        <v>2.6462484488573672</v>
      </c>
      <c r="BC45" s="9" t="str">
        <f t="shared" si="99"/>
        <v/>
      </c>
      <c r="BD45" s="9" t="str">
        <f t="shared" si="99"/>
        <v/>
      </c>
      <c r="BE45" s="9" t="str">
        <f t="shared" si="99"/>
        <v/>
      </c>
    </row>
    <row r="46" spans="1:57" s="163" customFormat="1" x14ac:dyDescent="0.25">
      <c r="A46" s="162" t="s">
        <v>578</v>
      </c>
      <c r="B46" s="9" t="str">
        <f t="shared" ref="B46:BE46" si="100">IF(B25="","",HLOOKUP(B25,$1:$43,43,FALSE))</f>
        <v/>
      </c>
      <c r="C46" s="9">
        <f t="shared" si="100"/>
        <v>4.0972017440346917</v>
      </c>
      <c r="D46" s="9">
        <f t="shared" si="100"/>
        <v>100</v>
      </c>
      <c r="E46" s="9" t="str">
        <f t="shared" si="100"/>
        <v/>
      </c>
      <c r="F46" s="9" t="str">
        <f t="shared" si="100"/>
        <v/>
      </c>
      <c r="G46" s="9">
        <f t="shared" si="100"/>
        <v>58.333333333333336</v>
      </c>
      <c r="H46" s="9" t="str">
        <f t="shared" si="100"/>
        <v/>
      </c>
      <c r="I46" s="9" t="str">
        <f t="shared" si="100"/>
        <v/>
      </c>
      <c r="J46" s="9" t="str">
        <f t="shared" si="100"/>
        <v/>
      </c>
      <c r="K46" s="9" t="str">
        <f t="shared" si="100"/>
        <v/>
      </c>
      <c r="L46" s="9" t="str">
        <f t="shared" si="100"/>
        <v/>
      </c>
      <c r="M46" s="9" t="str">
        <f t="shared" si="100"/>
        <v/>
      </c>
      <c r="N46" s="9" t="str">
        <f t="shared" si="100"/>
        <v/>
      </c>
      <c r="O46" s="9" t="str">
        <f t="shared" si="100"/>
        <v/>
      </c>
      <c r="P46" s="9" t="str">
        <f t="shared" si="100"/>
        <v/>
      </c>
      <c r="Q46" s="9" t="str">
        <f t="shared" si="100"/>
        <v/>
      </c>
      <c r="R46" s="9" t="str">
        <f t="shared" si="100"/>
        <v/>
      </c>
      <c r="S46" s="9" t="str">
        <f t="shared" si="100"/>
        <v/>
      </c>
      <c r="T46" s="9" t="str">
        <f t="shared" si="100"/>
        <v/>
      </c>
      <c r="U46" s="9" t="str">
        <f t="shared" si="100"/>
        <v/>
      </c>
      <c r="V46" s="9" t="str">
        <f t="shared" si="100"/>
        <v/>
      </c>
      <c r="W46" s="9">
        <f t="shared" si="100"/>
        <v>4.0972017440346917</v>
      </c>
      <c r="X46" s="9" t="str">
        <f t="shared" si="100"/>
        <v/>
      </c>
      <c r="Y46" s="9" t="str">
        <f t="shared" si="100"/>
        <v/>
      </c>
      <c r="Z46" s="9" t="str">
        <f t="shared" si="100"/>
        <v/>
      </c>
      <c r="AA46" s="9" t="str">
        <f t="shared" si="100"/>
        <v/>
      </c>
      <c r="AB46" s="9" t="str">
        <f t="shared" si="100"/>
        <v/>
      </c>
      <c r="AC46" s="9" t="str">
        <f t="shared" si="100"/>
        <v/>
      </c>
      <c r="AD46" s="9">
        <f t="shared" si="100"/>
        <v>93.113844669561033</v>
      </c>
      <c r="AE46" s="9" t="str">
        <f t="shared" si="100"/>
        <v/>
      </c>
      <c r="AF46" s="9" t="str">
        <f t="shared" si="100"/>
        <v/>
      </c>
      <c r="AG46" s="9" t="str">
        <f t="shared" si="100"/>
        <v/>
      </c>
      <c r="AH46" s="9" t="str">
        <f t="shared" si="100"/>
        <v/>
      </c>
      <c r="AI46" s="9" t="str">
        <f t="shared" si="100"/>
        <v/>
      </c>
      <c r="AJ46" s="9" t="str">
        <f t="shared" si="100"/>
        <v/>
      </c>
      <c r="AK46" s="9" t="str">
        <f t="shared" si="100"/>
        <v/>
      </c>
      <c r="AL46" s="9" t="str">
        <f t="shared" si="100"/>
        <v/>
      </c>
      <c r="AM46" s="9" t="str">
        <f t="shared" si="100"/>
        <v/>
      </c>
      <c r="AN46" s="9" t="str">
        <f t="shared" si="100"/>
        <v/>
      </c>
      <c r="AO46" s="9" t="str">
        <f t="shared" si="100"/>
        <v/>
      </c>
      <c r="AP46" s="9" t="str">
        <f t="shared" si="100"/>
        <v/>
      </c>
      <c r="AQ46" s="9" t="str">
        <f t="shared" si="100"/>
        <v/>
      </c>
      <c r="AR46" s="9" t="str">
        <f t="shared" si="100"/>
        <v/>
      </c>
      <c r="AS46" s="9" t="str">
        <f t="shared" si="100"/>
        <v/>
      </c>
      <c r="AT46" s="9" t="str">
        <f t="shared" si="100"/>
        <v/>
      </c>
      <c r="AU46" s="9" t="str">
        <f t="shared" si="100"/>
        <v/>
      </c>
      <c r="AV46" s="9" t="str">
        <f t="shared" si="100"/>
        <v/>
      </c>
      <c r="AW46" s="9" t="str">
        <f t="shared" si="100"/>
        <v/>
      </c>
      <c r="AX46" s="9" t="str">
        <f t="shared" si="100"/>
        <v/>
      </c>
      <c r="AY46" s="9" t="str">
        <f t="shared" si="100"/>
        <v/>
      </c>
      <c r="AZ46" s="9" t="str">
        <f t="shared" si="100"/>
        <v/>
      </c>
      <c r="BA46" s="9" t="str">
        <f t="shared" si="100"/>
        <v/>
      </c>
      <c r="BB46" s="9" t="str">
        <f t="shared" si="100"/>
        <v/>
      </c>
      <c r="BC46" s="9" t="str">
        <f t="shared" si="100"/>
        <v/>
      </c>
      <c r="BD46" s="9" t="str">
        <f t="shared" si="100"/>
        <v/>
      </c>
      <c r="BE46" s="9" t="str">
        <f t="shared" si="100"/>
        <v/>
      </c>
    </row>
    <row r="47" spans="1:57" s="163" customFormat="1" x14ac:dyDescent="0.25">
      <c r="A47" s="162" t="s">
        <v>579</v>
      </c>
      <c r="B47" s="9" t="str">
        <f t="shared" ref="B47:BE47" si="101">IF(B26="","",HLOOKUP(B26,$1:$43,43,FALSE))</f>
        <v/>
      </c>
      <c r="C47" s="9">
        <f t="shared" si="101"/>
        <v>220.80916873791773</v>
      </c>
      <c r="D47" s="9" t="str">
        <f t="shared" si="101"/>
        <v/>
      </c>
      <c r="E47" s="9" t="str">
        <f t="shared" si="101"/>
        <v/>
      </c>
      <c r="F47" s="9" t="str">
        <f t="shared" si="101"/>
        <v/>
      </c>
      <c r="G47" s="9" t="str">
        <f t="shared" si="101"/>
        <v/>
      </c>
      <c r="H47" s="9" t="str">
        <f t="shared" si="101"/>
        <v/>
      </c>
      <c r="I47" s="9" t="str">
        <f t="shared" si="101"/>
        <v/>
      </c>
      <c r="J47" s="9" t="str">
        <f t="shared" si="101"/>
        <v/>
      </c>
      <c r="K47" s="9" t="str">
        <f t="shared" si="101"/>
        <v/>
      </c>
      <c r="L47" s="9" t="str">
        <f t="shared" si="101"/>
        <v/>
      </c>
      <c r="M47" s="9" t="str">
        <f t="shared" si="101"/>
        <v/>
      </c>
      <c r="N47" s="9" t="str">
        <f t="shared" si="101"/>
        <v/>
      </c>
      <c r="O47" s="9" t="str">
        <f t="shared" si="101"/>
        <v/>
      </c>
      <c r="P47" s="9" t="str">
        <f t="shared" si="101"/>
        <v/>
      </c>
      <c r="Q47" s="9" t="str">
        <f t="shared" si="101"/>
        <v/>
      </c>
      <c r="R47" s="9" t="str">
        <f t="shared" si="101"/>
        <v/>
      </c>
      <c r="S47" s="9" t="str">
        <f t="shared" si="101"/>
        <v/>
      </c>
      <c r="T47" s="9" t="str">
        <f t="shared" si="101"/>
        <v/>
      </c>
      <c r="U47" s="9" t="str">
        <f t="shared" si="101"/>
        <v/>
      </c>
      <c r="V47" s="9" t="str">
        <f t="shared" si="101"/>
        <v/>
      </c>
      <c r="W47" s="9">
        <f t="shared" si="101"/>
        <v>220.80916873791773</v>
      </c>
      <c r="X47" s="9" t="str">
        <f t="shared" si="101"/>
        <v/>
      </c>
      <c r="Y47" s="9" t="str">
        <f t="shared" si="101"/>
        <v/>
      </c>
      <c r="Z47" s="9" t="str">
        <f t="shared" si="101"/>
        <v/>
      </c>
      <c r="AA47" s="9" t="str">
        <f t="shared" si="101"/>
        <v/>
      </c>
      <c r="AB47" s="9" t="str">
        <f t="shared" si="101"/>
        <v/>
      </c>
      <c r="AC47" s="9" t="str">
        <f t="shared" si="101"/>
        <v/>
      </c>
      <c r="AD47" s="9">
        <f t="shared" si="101"/>
        <v>108.95938112461027</v>
      </c>
      <c r="AE47" s="9" t="str">
        <f t="shared" si="101"/>
        <v/>
      </c>
      <c r="AF47" s="9" t="str">
        <f t="shared" si="101"/>
        <v/>
      </c>
      <c r="AG47" s="9" t="str">
        <f t="shared" si="101"/>
        <v/>
      </c>
      <c r="AH47" s="9" t="str">
        <f t="shared" si="101"/>
        <v/>
      </c>
      <c r="AI47" s="9" t="str">
        <f t="shared" si="101"/>
        <v/>
      </c>
      <c r="AJ47" s="9" t="str">
        <f t="shared" si="101"/>
        <v/>
      </c>
      <c r="AK47" s="9" t="str">
        <f t="shared" si="101"/>
        <v/>
      </c>
      <c r="AL47" s="9" t="str">
        <f t="shared" si="101"/>
        <v/>
      </c>
      <c r="AM47" s="9" t="str">
        <f t="shared" si="101"/>
        <v/>
      </c>
      <c r="AN47" s="9" t="str">
        <f t="shared" si="101"/>
        <v/>
      </c>
      <c r="AO47" s="9" t="str">
        <f t="shared" si="101"/>
        <v/>
      </c>
      <c r="AP47" s="9" t="str">
        <f t="shared" si="101"/>
        <v/>
      </c>
      <c r="AQ47" s="9" t="str">
        <f t="shared" si="101"/>
        <v/>
      </c>
      <c r="AR47" s="9" t="str">
        <f t="shared" si="101"/>
        <v/>
      </c>
      <c r="AS47" s="9" t="str">
        <f t="shared" si="101"/>
        <v/>
      </c>
      <c r="AT47" s="9" t="str">
        <f t="shared" si="101"/>
        <v/>
      </c>
      <c r="AU47" s="9" t="str">
        <f t="shared" si="101"/>
        <v/>
      </c>
      <c r="AV47" s="9" t="str">
        <f t="shared" si="101"/>
        <v/>
      </c>
      <c r="AW47" s="9" t="str">
        <f t="shared" si="101"/>
        <v/>
      </c>
      <c r="AX47" s="9" t="str">
        <f t="shared" si="101"/>
        <v/>
      </c>
      <c r="AY47" s="9" t="str">
        <f t="shared" si="101"/>
        <v/>
      </c>
      <c r="AZ47" s="9" t="str">
        <f t="shared" si="101"/>
        <v/>
      </c>
      <c r="BA47" s="9" t="str">
        <f t="shared" si="101"/>
        <v/>
      </c>
      <c r="BB47" s="9" t="str">
        <f t="shared" si="101"/>
        <v/>
      </c>
      <c r="BC47" s="9" t="str">
        <f t="shared" si="101"/>
        <v/>
      </c>
      <c r="BD47" s="9" t="str">
        <f t="shared" si="101"/>
        <v/>
      </c>
      <c r="BE47" s="9" t="str">
        <f t="shared" si="101"/>
        <v/>
      </c>
    </row>
    <row r="48" spans="1:57" s="163" customFormat="1" x14ac:dyDescent="0.25">
      <c r="A48" s="162" t="s">
        <v>580</v>
      </c>
      <c r="B48" s="9" t="str">
        <f t="shared" ref="B48:BE48" si="102">IF(B27="","",HLOOKUP(B27,$1:$43,43,FALSE))</f>
        <v/>
      </c>
      <c r="C48" s="9">
        <f t="shared" si="102"/>
        <v>3.6866359447004609</v>
      </c>
      <c r="D48" s="9" t="str">
        <f t="shared" si="102"/>
        <v/>
      </c>
      <c r="E48" s="9" t="str">
        <f t="shared" si="102"/>
        <v/>
      </c>
      <c r="F48" s="9" t="str">
        <f t="shared" si="102"/>
        <v/>
      </c>
      <c r="G48" s="9" t="str">
        <f t="shared" si="102"/>
        <v/>
      </c>
      <c r="H48" s="9" t="str">
        <f t="shared" si="102"/>
        <v/>
      </c>
      <c r="I48" s="9" t="str">
        <f t="shared" si="102"/>
        <v/>
      </c>
      <c r="J48" s="9" t="str">
        <f t="shared" si="102"/>
        <v/>
      </c>
      <c r="K48" s="9" t="str">
        <f t="shared" si="102"/>
        <v/>
      </c>
      <c r="L48" s="9" t="str">
        <f t="shared" si="102"/>
        <v/>
      </c>
      <c r="M48" s="9" t="str">
        <f t="shared" si="102"/>
        <v/>
      </c>
      <c r="N48" s="9" t="str">
        <f t="shared" si="102"/>
        <v/>
      </c>
      <c r="O48" s="9" t="str">
        <f t="shared" si="102"/>
        <v/>
      </c>
      <c r="P48" s="9" t="str">
        <f t="shared" si="102"/>
        <v/>
      </c>
      <c r="Q48" s="9" t="str">
        <f t="shared" si="102"/>
        <v/>
      </c>
      <c r="R48" s="9" t="str">
        <f t="shared" si="102"/>
        <v/>
      </c>
      <c r="S48" s="9" t="str">
        <f t="shared" si="102"/>
        <v/>
      </c>
      <c r="T48" s="9" t="str">
        <f t="shared" si="102"/>
        <v/>
      </c>
      <c r="U48" s="9" t="str">
        <f t="shared" si="102"/>
        <v/>
      </c>
      <c r="V48" s="9" t="str">
        <f t="shared" si="102"/>
        <v/>
      </c>
      <c r="W48" s="9" t="str">
        <f t="shared" si="102"/>
        <v/>
      </c>
      <c r="X48" s="9" t="str">
        <f t="shared" si="102"/>
        <v/>
      </c>
      <c r="Y48" s="9" t="str">
        <f t="shared" si="102"/>
        <v/>
      </c>
      <c r="Z48" s="9" t="str">
        <f t="shared" si="102"/>
        <v/>
      </c>
      <c r="AA48" s="9" t="str">
        <f t="shared" si="102"/>
        <v/>
      </c>
      <c r="AB48" s="9" t="str">
        <f t="shared" si="102"/>
        <v/>
      </c>
      <c r="AC48" s="9" t="str">
        <f t="shared" si="102"/>
        <v/>
      </c>
      <c r="AD48" s="9">
        <f t="shared" si="102"/>
        <v>38.724168912848157</v>
      </c>
      <c r="AE48" s="9" t="str">
        <f t="shared" si="102"/>
        <v/>
      </c>
      <c r="AF48" s="9" t="str">
        <f t="shared" si="102"/>
        <v/>
      </c>
      <c r="AG48" s="9" t="str">
        <f t="shared" si="102"/>
        <v/>
      </c>
      <c r="AH48" s="9" t="str">
        <f t="shared" si="102"/>
        <v/>
      </c>
      <c r="AI48" s="9" t="str">
        <f t="shared" si="102"/>
        <v/>
      </c>
      <c r="AJ48" s="9" t="str">
        <f t="shared" si="102"/>
        <v/>
      </c>
      <c r="AK48" s="9" t="str">
        <f t="shared" si="102"/>
        <v/>
      </c>
      <c r="AL48" s="9" t="str">
        <f t="shared" si="102"/>
        <v/>
      </c>
      <c r="AM48" s="9" t="str">
        <f t="shared" si="102"/>
        <v/>
      </c>
      <c r="AN48" s="9" t="str">
        <f t="shared" si="102"/>
        <v/>
      </c>
      <c r="AO48" s="9" t="str">
        <f t="shared" si="102"/>
        <v/>
      </c>
      <c r="AP48" s="9" t="str">
        <f t="shared" si="102"/>
        <v/>
      </c>
      <c r="AQ48" s="9" t="str">
        <f t="shared" si="102"/>
        <v/>
      </c>
      <c r="AR48" s="9" t="str">
        <f t="shared" si="102"/>
        <v/>
      </c>
      <c r="AS48" s="9" t="str">
        <f t="shared" si="102"/>
        <v/>
      </c>
      <c r="AT48" s="9" t="str">
        <f t="shared" si="102"/>
        <v/>
      </c>
      <c r="AU48" s="9" t="str">
        <f t="shared" si="102"/>
        <v/>
      </c>
      <c r="AV48" s="9" t="str">
        <f t="shared" si="102"/>
        <v/>
      </c>
      <c r="AW48" s="9" t="str">
        <f t="shared" si="102"/>
        <v/>
      </c>
      <c r="AX48" s="9" t="str">
        <f t="shared" si="102"/>
        <v/>
      </c>
      <c r="AY48" s="9" t="str">
        <f t="shared" si="102"/>
        <v/>
      </c>
      <c r="AZ48" s="9" t="str">
        <f t="shared" si="102"/>
        <v/>
      </c>
      <c r="BA48" s="9" t="str">
        <f t="shared" si="102"/>
        <v/>
      </c>
      <c r="BB48" s="9" t="str">
        <f t="shared" si="102"/>
        <v/>
      </c>
      <c r="BC48" s="9" t="str">
        <f t="shared" si="102"/>
        <v/>
      </c>
      <c r="BD48" s="9" t="str">
        <f t="shared" si="102"/>
        <v/>
      </c>
      <c r="BE48" s="9" t="str">
        <f t="shared" si="102"/>
        <v/>
      </c>
    </row>
    <row r="49" spans="1:57" s="163" customFormat="1" x14ac:dyDescent="0.25">
      <c r="A49" s="162" t="s">
        <v>581</v>
      </c>
      <c r="B49" s="9" t="str">
        <f t="shared" ref="B49:BE49" si="103">IF(B28="","",HLOOKUP(B28,$1:$43,43,FALSE))</f>
        <v/>
      </c>
      <c r="C49" s="9">
        <f t="shared" si="103"/>
        <v>41.666666666666671</v>
      </c>
      <c r="D49" s="9" t="str">
        <f t="shared" si="103"/>
        <v/>
      </c>
      <c r="E49" s="9" t="str">
        <f t="shared" si="103"/>
        <v/>
      </c>
      <c r="F49" s="9" t="str">
        <f t="shared" si="103"/>
        <v/>
      </c>
      <c r="G49" s="9" t="str">
        <f t="shared" si="103"/>
        <v/>
      </c>
      <c r="H49" s="9" t="str">
        <f t="shared" si="103"/>
        <v/>
      </c>
      <c r="I49" s="9" t="str">
        <f t="shared" si="103"/>
        <v/>
      </c>
      <c r="J49" s="9" t="str">
        <f t="shared" si="103"/>
        <v/>
      </c>
      <c r="K49" s="9" t="str">
        <f t="shared" si="103"/>
        <v/>
      </c>
      <c r="L49" s="9" t="str">
        <f t="shared" si="103"/>
        <v/>
      </c>
      <c r="M49" s="9" t="str">
        <f t="shared" si="103"/>
        <v/>
      </c>
      <c r="N49" s="9" t="str">
        <f t="shared" si="103"/>
        <v/>
      </c>
      <c r="O49" s="9" t="str">
        <f t="shared" si="103"/>
        <v/>
      </c>
      <c r="P49" s="9" t="str">
        <f t="shared" si="103"/>
        <v/>
      </c>
      <c r="Q49" s="9" t="str">
        <f t="shared" si="103"/>
        <v/>
      </c>
      <c r="R49" s="9" t="str">
        <f t="shared" si="103"/>
        <v/>
      </c>
      <c r="S49" s="9" t="str">
        <f t="shared" si="103"/>
        <v/>
      </c>
      <c r="T49" s="9" t="str">
        <f t="shared" si="103"/>
        <v/>
      </c>
      <c r="U49" s="9" t="str">
        <f t="shared" si="103"/>
        <v/>
      </c>
      <c r="V49" s="9" t="str">
        <f t="shared" si="103"/>
        <v/>
      </c>
      <c r="W49" s="9" t="str">
        <f t="shared" si="103"/>
        <v/>
      </c>
      <c r="X49" s="9" t="str">
        <f t="shared" si="103"/>
        <v/>
      </c>
      <c r="Y49" s="9" t="str">
        <f t="shared" si="103"/>
        <v/>
      </c>
      <c r="Z49" s="9" t="str">
        <f t="shared" si="103"/>
        <v/>
      </c>
      <c r="AA49" s="9" t="str">
        <f t="shared" si="103"/>
        <v/>
      </c>
      <c r="AB49" s="9" t="str">
        <f t="shared" si="103"/>
        <v/>
      </c>
      <c r="AC49" s="9" t="str">
        <f t="shared" si="103"/>
        <v/>
      </c>
      <c r="AD49" s="9">
        <f t="shared" si="103"/>
        <v>183.33333333333334</v>
      </c>
      <c r="AE49" s="9" t="str">
        <f t="shared" si="103"/>
        <v/>
      </c>
      <c r="AF49" s="9" t="str">
        <f t="shared" si="103"/>
        <v/>
      </c>
      <c r="AG49" s="9" t="str">
        <f t="shared" si="103"/>
        <v/>
      </c>
      <c r="AH49" s="9" t="str">
        <f t="shared" si="103"/>
        <v/>
      </c>
      <c r="AI49" s="9" t="str">
        <f t="shared" si="103"/>
        <v/>
      </c>
      <c r="AJ49" s="9" t="str">
        <f t="shared" si="103"/>
        <v/>
      </c>
      <c r="AK49" s="9" t="str">
        <f t="shared" si="103"/>
        <v/>
      </c>
      <c r="AL49" s="9" t="str">
        <f t="shared" si="103"/>
        <v/>
      </c>
      <c r="AM49" s="9" t="str">
        <f t="shared" si="103"/>
        <v/>
      </c>
      <c r="AN49" s="9" t="str">
        <f t="shared" si="103"/>
        <v/>
      </c>
      <c r="AO49" s="9" t="str">
        <f t="shared" si="103"/>
        <v/>
      </c>
      <c r="AP49" s="9" t="str">
        <f t="shared" si="103"/>
        <v/>
      </c>
      <c r="AQ49" s="9" t="str">
        <f t="shared" si="103"/>
        <v/>
      </c>
      <c r="AR49" s="9" t="str">
        <f t="shared" si="103"/>
        <v/>
      </c>
      <c r="AS49" s="9" t="str">
        <f t="shared" si="103"/>
        <v/>
      </c>
      <c r="AT49" s="9" t="str">
        <f t="shared" si="103"/>
        <v/>
      </c>
      <c r="AU49" s="9" t="str">
        <f t="shared" si="103"/>
        <v/>
      </c>
      <c r="AV49" s="9" t="str">
        <f t="shared" si="103"/>
        <v/>
      </c>
      <c r="AW49" s="9" t="str">
        <f t="shared" si="103"/>
        <v/>
      </c>
      <c r="AX49" s="9" t="str">
        <f t="shared" si="103"/>
        <v/>
      </c>
      <c r="AY49" s="9" t="str">
        <f t="shared" si="103"/>
        <v/>
      </c>
      <c r="AZ49" s="9" t="str">
        <f t="shared" si="103"/>
        <v/>
      </c>
      <c r="BA49" s="9" t="str">
        <f t="shared" si="103"/>
        <v/>
      </c>
      <c r="BB49" s="9" t="str">
        <f t="shared" si="103"/>
        <v/>
      </c>
      <c r="BC49" s="9" t="str">
        <f t="shared" si="103"/>
        <v/>
      </c>
      <c r="BD49" s="9" t="str">
        <f t="shared" si="103"/>
        <v/>
      </c>
      <c r="BE49" s="9" t="str">
        <f t="shared" si="103"/>
        <v/>
      </c>
    </row>
    <row r="50" spans="1:57" s="163" customFormat="1" x14ac:dyDescent="0.25">
      <c r="A50" s="162" t="s">
        <v>584</v>
      </c>
      <c r="B50" s="9">
        <f>SUM(B45:B49,B17)</f>
        <v>3.6866359447004609</v>
      </c>
      <c r="C50" s="9">
        <f t="shared" ref="C50:BE50" si="104">SUM(C45:C49,C17)</f>
        <v>385.28645414332857</v>
      </c>
      <c r="D50" s="9">
        <f t="shared" si="104"/>
        <v>220.80916873791773</v>
      </c>
      <c r="E50" s="9">
        <f t="shared" si="104"/>
        <v>9.0086157211773106</v>
      </c>
      <c r="F50" s="9">
        <f t="shared" si="104"/>
        <v>41.265344664778098</v>
      </c>
      <c r="G50" s="9">
        <f t="shared" si="104"/>
        <v>93.113844669561033</v>
      </c>
      <c r="H50" s="9">
        <f t="shared" si="104"/>
        <v>3.1578947368421053</v>
      </c>
      <c r="I50" s="9">
        <f t="shared" si="104"/>
        <v>410.48536094358474</v>
      </c>
      <c r="J50" s="9">
        <f t="shared" si="104"/>
        <v>410.80413970405522</v>
      </c>
      <c r="K50" s="9">
        <f t="shared" si="104"/>
        <v>4.1597337770382694</v>
      </c>
      <c r="L50" s="9">
        <f t="shared" si="104"/>
        <v>2.7686770338240043</v>
      </c>
      <c r="M50" s="9">
        <f t="shared" si="104"/>
        <v>4.0232641178499744</v>
      </c>
      <c r="N50" s="9">
        <f t="shared" si="104"/>
        <v>75</v>
      </c>
      <c r="O50" s="9">
        <f t="shared" si="104"/>
        <v>33.333333333333336</v>
      </c>
      <c r="P50" s="9">
        <f t="shared" si="104"/>
        <v>58.333333333333336</v>
      </c>
      <c r="Q50" s="9">
        <f t="shared" si="104"/>
        <v>33.333333333333336</v>
      </c>
      <c r="R50" s="9">
        <f t="shared" si="104"/>
        <v>50</v>
      </c>
      <c r="S50" s="9">
        <f t="shared" si="104"/>
        <v>38.724168912848157</v>
      </c>
      <c r="T50" s="9">
        <f t="shared" si="104"/>
        <v>2.9850746268656718</v>
      </c>
      <c r="U50" s="9">
        <f t="shared" si="104"/>
        <v>2.9339853300733498</v>
      </c>
      <c r="V50" s="9">
        <f t="shared" si="104"/>
        <v>108.33333333333334</v>
      </c>
      <c r="W50" s="9">
        <f t="shared" si="104"/>
        <v>339.98308387363846</v>
      </c>
      <c r="X50" s="9">
        <f t="shared" si="104"/>
        <v>4.9155145929339481</v>
      </c>
      <c r="Y50" s="9">
        <f t="shared" si="104"/>
        <v>111.70727897532022</v>
      </c>
      <c r="Z50" s="9">
        <f t="shared" si="104"/>
        <v>103.06670074111935</v>
      </c>
      <c r="AA50" s="9">
        <f t="shared" si="104"/>
        <v>3.3846084591857681</v>
      </c>
      <c r="AB50" s="9">
        <f t="shared" si="104"/>
        <v>4.4198895027624312</v>
      </c>
      <c r="AC50" s="9">
        <f t="shared" si="104"/>
        <v>116.66666666666667</v>
      </c>
      <c r="AD50" s="9">
        <f t="shared" si="104"/>
        <v>506.15686765274933</v>
      </c>
      <c r="AE50" s="9">
        <f t="shared" si="104"/>
        <v>196.18514950609554</v>
      </c>
      <c r="AF50" s="9">
        <f t="shared" si="104"/>
        <v>6.3331222292590246</v>
      </c>
      <c r="AG50" s="9">
        <f t="shared" si="104"/>
        <v>78.236209996803709</v>
      </c>
      <c r="AH50" s="9">
        <f t="shared" si="104"/>
        <v>2.6462484488573672</v>
      </c>
      <c r="AI50" s="9">
        <f t="shared" si="104"/>
        <v>7.0247570938514343</v>
      </c>
      <c r="AJ50" s="9">
        <f t="shared" si="104"/>
        <v>183.33333333333334</v>
      </c>
      <c r="AK50" s="9">
        <f t="shared" si="104"/>
        <v>55.735708062471041</v>
      </c>
      <c r="AL50" s="9">
        <f t="shared" si="104"/>
        <v>55.735708062471041</v>
      </c>
      <c r="AM50" s="9">
        <f t="shared" si="104"/>
        <v>55.735708062471041</v>
      </c>
      <c r="AN50" s="9">
        <f t="shared" si="104"/>
        <v>8.5158034706056132</v>
      </c>
      <c r="AO50" s="9">
        <f t="shared" si="104"/>
        <v>41.666666666666671</v>
      </c>
      <c r="AP50" s="9">
        <f t="shared" si="104"/>
        <v>204.81215702885635</v>
      </c>
      <c r="AQ50" s="9">
        <f t="shared" si="104"/>
        <v>84.14754004606479</v>
      </c>
      <c r="AR50" s="9">
        <f t="shared" si="104"/>
        <v>44.581056466302371</v>
      </c>
      <c r="AS50" s="9">
        <f t="shared" si="104"/>
        <v>201.94928843452482</v>
      </c>
      <c r="AT50" s="9">
        <f t="shared" si="104"/>
        <v>100</v>
      </c>
      <c r="AU50" s="9">
        <f t="shared" si="104"/>
        <v>100</v>
      </c>
      <c r="AV50" s="9">
        <f t="shared" si="104"/>
        <v>108.95938112461027</v>
      </c>
      <c r="AW50" s="9">
        <f t="shared" si="104"/>
        <v>113.39151408859919</v>
      </c>
      <c r="AX50" s="9">
        <f t="shared" si="104"/>
        <v>5.342237061769616</v>
      </c>
      <c r="AY50" s="9">
        <f t="shared" si="104"/>
        <v>5.342237061769616</v>
      </c>
      <c r="AZ50" s="9">
        <f t="shared" si="104"/>
        <v>5.342237061769616</v>
      </c>
      <c r="BA50" s="9">
        <f t="shared" si="104"/>
        <v>4.3204320432043204</v>
      </c>
      <c r="BB50" s="9">
        <f t="shared" si="104"/>
        <v>4.0972017440346917</v>
      </c>
      <c r="BC50" s="9">
        <f t="shared" si="104"/>
        <v>1.2351747227520642</v>
      </c>
      <c r="BD50" s="9">
        <f t="shared" si="104"/>
        <v>1.4148232674930235</v>
      </c>
      <c r="BE50" s="9">
        <f t="shared" si="104"/>
        <v>50</v>
      </c>
    </row>
    <row r="51" spans="1:57" s="164" customFormat="1" ht="7.5" customHeight="1" x14ac:dyDescent="0.25">
      <c r="A51" s="162"/>
    </row>
    <row r="52" spans="1:57" x14ac:dyDescent="0.25">
      <c r="A52" s="159" t="s">
        <v>585</v>
      </c>
      <c r="B52" s="9" t="str">
        <f>IF(B24="","",HLOOKUP(B24,$1:$50,50,FALSE))</f>
        <v/>
      </c>
      <c r="C52" s="9">
        <f t="shared" ref="C52:BE56" si="105">IF(C24="","",HLOOKUP(C24,$1:$50,50,FALSE))</f>
        <v>111.70727897532022</v>
      </c>
      <c r="D52" s="9">
        <f t="shared" si="105"/>
        <v>116.66666666666667</v>
      </c>
      <c r="E52" s="9">
        <f t="shared" si="105"/>
        <v>3.6866359447004609</v>
      </c>
      <c r="F52" s="9">
        <f t="shared" si="105"/>
        <v>33.333333333333336</v>
      </c>
      <c r="G52" s="9">
        <f t="shared" si="105"/>
        <v>33.333333333333336</v>
      </c>
      <c r="H52" s="9" t="str">
        <f t="shared" si="105"/>
        <v/>
      </c>
      <c r="I52" s="9">
        <f t="shared" si="105"/>
        <v>506.15686765274933</v>
      </c>
      <c r="J52" s="9">
        <f t="shared" si="105"/>
        <v>506.15686765274933</v>
      </c>
      <c r="K52" s="9" t="str">
        <f t="shared" si="105"/>
        <v/>
      </c>
      <c r="L52" s="9" t="str">
        <f t="shared" si="105"/>
        <v/>
      </c>
      <c r="M52" s="9">
        <f t="shared" si="105"/>
        <v>2.7686770338240043</v>
      </c>
      <c r="N52" s="9" t="str">
        <f t="shared" si="105"/>
        <v/>
      </c>
      <c r="O52" s="9" t="str">
        <f t="shared" si="105"/>
        <v/>
      </c>
      <c r="P52" s="9" t="str">
        <f t="shared" si="105"/>
        <v/>
      </c>
      <c r="Q52" s="9" t="str">
        <f t="shared" si="105"/>
        <v/>
      </c>
      <c r="R52" s="9" t="str">
        <f t="shared" si="105"/>
        <v/>
      </c>
      <c r="S52" s="9">
        <f t="shared" si="105"/>
        <v>33.333333333333336</v>
      </c>
      <c r="T52" s="9" t="str">
        <f t="shared" si="105"/>
        <v/>
      </c>
      <c r="U52" s="9" t="str">
        <f t="shared" si="105"/>
        <v/>
      </c>
      <c r="V52" s="9" t="str">
        <f t="shared" si="105"/>
        <v/>
      </c>
      <c r="W52" s="9">
        <f t="shared" si="105"/>
        <v>111.70727897532022</v>
      </c>
      <c r="X52" s="9" t="str">
        <f t="shared" si="105"/>
        <v/>
      </c>
      <c r="Y52" s="9">
        <f t="shared" si="105"/>
        <v>108.33333333333334</v>
      </c>
      <c r="Z52" s="9">
        <f t="shared" si="105"/>
        <v>100</v>
      </c>
      <c r="AA52" s="9" t="str">
        <f t="shared" si="105"/>
        <v/>
      </c>
      <c r="AB52" s="9" t="str">
        <f t="shared" si="105"/>
        <v/>
      </c>
      <c r="AC52" s="9" t="str">
        <f t="shared" si="105"/>
        <v/>
      </c>
      <c r="AD52" s="9">
        <f t="shared" si="105"/>
        <v>78.236209996803709</v>
      </c>
      <c r="AE52" s="9">
        <f t="shared" si="105"/>
        <v>183.33333333333334</v>
      </c>
      <c r="AF52" s="9" t="str">
        <f t="shared" si="105"/>
        <v/>
      </c>
      <c r="AG52" s="9">
        <f t="shared" si="105"/>
        <v>75</v>
      </c>
      <c r="AH52" s="9" t="str">
        <f t="shared" si="105"/>
        <v/>
      </c>
      <c r="AI52" s="9" t="str">
        <f t="shared" si="105"/>
        <v/>
      </c>
      <c r="AJ52" s="9" t="str">
        <f t="shared" si="105"/>
        <v/>
      </c>
      <c r="AK52" s="9">
        <f t="shared" si="105"/>
        <v>55.735708062471041</v>
      </c>
      <c r="AL52" s="9">
        <f t="shared" si="105"/>
        <v>55.735708062471041</v>
      </c>
      <c r="AM52" s="9">
        <f t="shared" si="105"/>
        <v>50</v>
      </c>
      <c r="AN52" s="9">
        <f t="shared" si="105"/>
        <v>2.7686770338240043</v>
      </c>
      <c r="AO52" s="9" t="str">
        <f t="shared" si="105"/>
        <v/>
      </c>
      <c r="AP52" s="9">
        <f t="shared" si="105"/>
        <v>201.94928843452482</v>
      </c>
      <c r="AQ52" s="9">
        <f t="shared" si="105"/>
        <v>78.236209996803709</v>
      </c>
      <c r="AR52" s="9">
        <f t="shared" si="105"/>
        <v>41.666666666666671</v>
      </c>
      <c r="AS52" s="9">
        <f t="shared" si="105"/>
        <v>196.18514950609554</v>
      </c>
      <c r="AT52" s="9" t="str">
        <f t="shared" si="105"/>
        <v/>
      </c>
      <c r="AU52" s="9" t="str">
        <f t="shared" si="105"/>
        <v/>
      </c>
      <c r="AV52" s="9">
        <f t="shared" si="105"/>
        <v>103.06670074111935</v>
      </c>
      <c r="AW52" s="9">
        <f t="shared" si="105"/>
        <v>108.95938112461027</v>
      </c>
      <c r="AX52" s="9" t="str">
        <f t="shared" si="105"/>
        <v/>
      </c>
      <c r="AY52" s="9">
        <f t="shared" si="105"/>
        <v>5.342237061769616</v>
      </c>
      <c r="AZ52" s="9">
        <f t="shared" si="105"/>
        <v>5.342237061769616</v>
      </c>
      <c r="BA52" s="9" t="str">
        <f t="shared" si="105"/>
        <v/>
      </c>
      <c r="BB52" s="9">
        <f t="shared" si="105"/>
        <v>2.6462484488573672</v>
      </c>
      <c r="BC52" s="9" t="str">
        <f t="shared" si="105"/>
        <v/>
      </c>
      <c r="BD52" s="9" t="str">
        <f t="shared" si="105"/>
        <v/>
      </c>
      <c r="BE52" s="9" t="str">
        <f t="shared" si="105"/>
        <v/>
      </c>
    </row>
    <row r="53" spans="1:57" x14ac:dyDescent="0.25">
      <c r="A53" s="159" t="s">
        <v>586</v>
      </c>
      <c r="B53" s="9" t="str">
        <f t="shared" ref="B53:Q56" si="106">IF(B25="","",HLOOKUP(B25,$1:$50,50,FALSE))</f>
        <v/>
      </c>
      <c r="C53" s="9">
        <f t="shared" si="106"/>
        <v>4.0972017440346917</v>
      </c>
      <c r="D53" s="9">
        <f t="shared" si="106"/>
        <v>100</v>
      </c>
      <c r="E53" s="9" t="str">
        <f t="shared" si="106"/>
        <v/>
      </c>
      <c r="F53" s="9" t="str">
        <f t="shared" si="106"/>
        <v/>
      </c>
      <c r="G53" s="9">
        <f t="shared" si="106"/>
        <v>58.333333333333336</v>
      </c>
      <c r="H53" s="9" t="str">
        <f t="shared" si="106"/>
        <v/>
      </c>
      <c r="I53" s="9" t="str">
        <f t="shared" si="106"/>
        <v/>
      </c>
      <c r="J53" s="9" t="str">
        <f t="shared" si="106"/>
        <v/>
      </c>
      <c r="K53" s="9" t="str">
        <f t="shared" si="106"/>
        <v/>
      </c>
      <c r="L53" s="9" t="str">
        <f t="shared" si="106"/>
        <v/>
      </c>
      <c r="M53" s="9" t="str">
        <f t="shared" si="106"/>
        <v/>
      </c>
      <c r="N53" s="9" t="str">
        <f t="shared" si="106"/>
        <v/>
      </c>
      <c r="O53" s="9" t="str">
        <f t="shared" si="106"/>
        <v/>
      </c>
      <c r="P53" s="9" t="str">
        <f t="shared" si="106"/>
        <v/>
      </c>
      <c r="Q53" s="9" t="str">
        <f t="shared" si="106"/>
        <v/>
      </c>
      <c r="R53" s="9" t="str">
        <f t="shared" si="105"/>
        <v/>
      </c>
      <c r="S53" s="9" t="str">
        <f t="shared" si="105"/>
        <v/>
      </c>
      <c r="T53" s="9" t="str">
        <f t="shared" si="105"/>
        <v/>
      </c>
      <c r="U53" s="9" t="str">
        <f t="shared" si="105"/>
        <v/>
      </c>
      <c r="V53" s="9" t="str">
        <f t="shared" si="105"/>
        <v/>
      </c>
      <c r="W53" s="9">
        <f t="shared" si="105"/>
        <v>4.0972017440346917</v>
      </c>
      <c r="X53" s="9" t="str">
        <f t="shared" si="105"/>
        <v/>
      </c>
      <c r="Y53" s="9" t="str">
        <f t="shared" si="105"/>
        <v/>
      </c>
      <c r="Z53" s="9" t="str">
        <f t="shared" si="105"/>
        <v/>
      </c>
      <c r="AA53" s="9" t="str">
        <f t="shared" si="105"/>
        <v/>
      </c>
      <c r="AB53" s="9" t="str">
        <f t="shared" si="105"/>
        <v/>
      </c>
      <c r="AC53" s="9" t="str">
        <f t="shared" si="105"/>
        <v/>
      </c>
      <c r="AD53" s="9">
        <f t="shared" si="105"/>
        <v>93.113844669561033</v>
      </c>
      <c r="AE53" s="9" t="str">
        <f t="shared" si="105"/>
        <v/>
      </c>
      <c r="AF53" s="9" t="str">
        <f t="shared" si="105"/>
        <v/>
      </c>
      <c r="AG53" s="9" t="str">
        <f t="shared" si="105"/>
        <v/>
      </c>
      <c r="AH53" s="9" t="str">
        <f t="shared" si="105"/>
        <v/>
      </c>
      <c r="AI53" s="9" t="str">
        <f t="shared" si="105"/>
        <v/>
      </c>
      <c r="AJ53" s="9" t="str">
        <f t="shared" si="105"/>
        <v/>
      </c>
      <c r="AK53" s="9" t="str">
        <f t="shared" si="105"/>
        <v/>
      </c>
      <c r="AL53" s="9" t="str">
        <f t="shared" si="105"/>
        <v/>
      </c>
      <c r="AM53" s="9" t="str">
        <f t="shared" si="105"/>
        <v/>
      </c>
      <c r="AN53" s="9" t="str">
        <f t="shared" si="105"/>
        <v/>
      </c>
      <c r="AO53" s="9" t="str">
        <f t="shared" si="105"/>
        <v/>
      </c>
      <c r="AP53" s="9" t="str">
        <f t="shared" si="105"/>
        <v/>
      </c>
      <c r="AQ53" s="9" t="str">
        <f t="shared" si="105"/>
        <v/>
      </c>
      <c r="AR53" s="9" t="str">
        <f t="shared" si="105"/>
        <v/>
      </c>
      <c r="AS53" s="9" t="str">
        <f t="shared" si="105"/>
        <v/>
      </c>
      <c r="AT53" s="9" t="str">
        <f t="shared" si="105"/>
        <v/>
      </c>
      <c r="AU53" s="9" t="str">
        <f t="shared" si="105"/>
        <v/>
      </c>
      <c r="AV53" s="9" t="str">
        <f t="shared" si="105"/>
        <v/>
      </c>
      <c r="AW53" s="9" t="str">
        <f t="shared" si="105"/>
        <v/>
      </c>
      <c r="AX53" s="9" t="str">
        <f t="shared" si="105"/>
        <v/>
      </c>
      <c r="AY53" s="9" t="str">
        <f t="shared" si="105"/>
        <v/>
      </c>
      <c r="AZ53" s="9" t="str">
        <f t="shared" si="105"/>
        <v/>
      </c>
      <c r="BA53" s="9" t="str">
        <f t="shared" si="105"/>
        <v/>
      </c>
      <c r="BB53" s="9" t="str">
        <f t="shared" si="105"/>
        <v/>
      </c>
      <c r="BC53" s="9" t="str">
        <f t="shared" si="105"/>
        <v/>
      </c>
      <c r="BD53" s="9" t="str">
        <f t="shared" si="105"/>
        <v/>
      </c>
      <c r="BE53" s="9" t="str">
        <f t="shared" si="105"/>
        <v/>
      </c>
    </row>
    <row r="54" spans="1:57" x14ac:dyDescent="0.25">
      <c r="A54" s="159" t="s">
        <v>587</v>
      </c>
      <c r="B54" s="9" t="str">
        <f t="shared" si="106"/>
        <v/>
      </c>
      <c r="C54" s="9">
        <f t="shared" si="105"/>
        <v>220.80916873791773</v>
      </c>
      <c r="D54" s="9" t="str">
        <f t="shared" si="105"/>
        <v/>
      </c>
      <c r="E54" s="9" t="str">
        <f t="shared" si="105"/>
        <v/>
      </c>
      <c r="F54" s="9" t="str">
        <f t="shared" si="105"/>
        <v/>
      </c>
      <c r="G54" s="9" t="str">
        <f t="shared" si="105"/>
        <v/>
      </c>
      <c r="H54" s="9" t="str">
        <f t="shared" si="105"/>
        <v/>
      </c>
      <c r="I54" s="9" t="str">
        <f t="shared" si="105"/>
        <v/>
      </c>
      <c r="J54" s="9" t="str">
        <f t="shared" si="105"/>
        <v/>
      </c>
      <c r="K54" s="9" t="str">
        <f t="shared" si="105"/>
        <v/>
      </c>
      <c r="L54" s="9" t="str">
        <f t="shared" si="105"/>
        <v/>
      </c>
      <c r="M54" s="9" t="str">
        <f t="shared" si="105"/>
        <v/>
      </c>
      <c r="N54" s="9" t="str">
        <f t="shared" si="105"/>
        <v/>
      </c>
      <c r="O54" s="9" t="str">
        <f t="shared" si="105"/>
        <v/>
      </c>
      <c r="P54" s="9" t="str">
        <f t="shared" si="105"/>
        <v/>
      </c>
      <c r="Q54" s="9" t="str">
        <f t="shared" si="105"/>
        <v/>
      </c>
      <c r="R54" s="9" t="str">
        <f t="shared" si="105"/>
        <v/>
      </c>
      <c r="S54" s="9" t="str">
        <f t="shared" si="105"/>
        <v/>
      </c>
      <c r="T54" s="9" t="str">
        <f t="shared" si="105"/>
        <v/>
      </c>
      <c r="U54" s="9" t="str">
        <f t="shared" si="105"/>
        <v/>
      </c>
      <c r="V54" s="9" t="str">
        <f t="shared" si="105"/>
        <v/>
      </c>
      <c r="W54" s="9">
        <f t="shared" si="105"/>
        <v>220.80916873791773</v>
      </c>
      <c r="X54" s="9" t="str">
        <f t="shared" si="105"/>
        <v/>
      </c>
      <c r="Y54" s="9" t="str">
        <f t="shared" si="105"/>
        <v/>
      </c>
      <c r="Z54" s="9" t="str">
        <f t="shared" si="105"/>
        <v/>
      </c>
      <c r="AA54" s="9" t="str">
        <f t="shared" si="105"/>
        <v/>
      </c>
      <c r="AB54" s="9" t="str">
        <f t="shared" si="105"/>
        <v/>
      </c>
      <c r="AC54" s="9" t="str">
        <f t="shared" si="105"/>
        <v/>
      </c>
      <c r="AD54" s="9">
        <f t="shared" si="105"/>
        <v>108.95938112461027</v>
      </c>
      <c r="AE54" s="9" t="str">
        <f t="shared" si="105"/>
        <v/>
      </c>
      <c r="AF54" s="9" t="str">
        <f t="shared" si="105"/>
        <v/>
      </c>
      <c r="AG54" s="9" t="str">
        <f t="shared" si="105"/>
        <v/>
      </c>
      <c r="AH54" s="9" t="str">
        <f t="shared" si="105"/>
        <v/>
      </c>
      <c r="AI54" s="9" t="str">
        <f t="shared" si="105"/>
        <v/>
      </c>
      <c r="AJ54" s="9" t="str">
        <f t="shared" si="105"/>
        <v/>
      </c>
      <c r="AK54" s="9" t="str">
        <f t="shared" si="105"/>
        <v/>
      </c>
      <c r="AL54" s="9" t="str">
        <f t="shared" si="105"/>
        <v/>
      </c>
      <c r="AM54" s="9" t="str">
        <f t="shared" si="105"/>
        <v/>
      </c>
      <c r="AN54" s="9" t="str">
        <f t="shared" si="105"/>
        <v/>
      </c>
      <c r="AO54" s="9" t="str">
        <f t="shared" si="105"/>
        <v/>
      </c>
      <c r="AP54" s="9" t="str">
        <f t="shared" si="105"/>
        <v/>
      </c>
      <c r="AQ54" s="9" t="str">
        <f t="shared" si="105"/>
        <v/>
      </c>
      <c r="AR54" s="9" t="str">
        <f t="shared" si="105"/>
        <v/>
      </c>
      <c r="AS54" s="9" t="str">
        <f t="shared" si="105"/>
        <v/>
      </c>
      <c r="AT54" s="9" t="str">
        <f t="shared" si="105"/>
        <v/>
      </c>
      <c r="AU54" s="9" t="str">
        <f t="shared" si="105"/>
        <v/>
      </c>
      <c r="AV54" s="9" t="str">
        <f t="shared" si="105"/>
        <v/>
      </c>
      <c r="AW54" s="9" t="str">
        <f t="shared" si="105"/>
        <v/>
      </c>
      <c r="AX54" s="9" t="str">
        <f t="shared" si="105"/>
        <v/>
      </c>
      <c r="AY54" s="9" t="str">
        <f t="shared" si="105"/>
        <v/>
      </c>
      <c r="AZ54" s="9" t="str">
        <f t="shared" si="105"/>
        <v/>
      </c>
      <c r="BA54" s="9" t="str">
        <f t="shared" si="105"/>
        <v/>
      </c>
      <c r="BB54" s="9" t="str">
        <f t="shared" si="105"/>
        <v/>
      </c>
      <c r="BC54" s="9" t="str">
        <f t="shared" si="105"/>
        <v/>
      </c>
      <c r="BD54" s="9" t="str">
        <f t="shared" si="105"/>
        <v/>
      </c>
      <c r="BE54" s="9" t="str">
        <f t="shared" si="105"/>
        <v/>
      </c>
    </row>
    <row r="55" spans="1:57" x14ac:dyDescent="0.25">
      <c r="A55" s="159" t="s">
        <v>588</v>
      </c>
      <c r="B55" s="9" t="str">
        <f t="shared" si="106"/>
        <v/>
      </c>
      <c r="C55" s="9">
        <f t="shared" si="105"/>
        <v>3.6866359447004609</v>
      </c>
      <c r="D55" s="9" t="str">
        <f t="shared" si="105"/>
        <v/>
      </c>
      <c r="E55" s="9" t="str">
        <f t="shared" si="105"/>
        <v/>
      </c>
      <c r="F55" s="9" t="str">
        <f t="shared" si="105"/>
        <v/>
      </c>
      <c r="G55" s="9" t="str">
        <f t="shared" si="105"/>
        <v/>
      </c>
      <c r="H55" s="9" t="str">
        <f t="shared" si="105"/>
        <v/>
      </c>
      <c r="I55" s="9" t="str">
        <f t="shared" si="105"/>
        <v/>
      </c>
      <c r="J55" s="9" t="str">
        <f t="shared" si="105"/>
        <v/>
      </c>
      <c r="K55" s="9" t="str">
        <f t="shared" si="105"/>
        <v/>
      </c>
      <c r="L55" s="9" t="str">
        <f t="shared" si="105"/>
        <v/>
      </c>
      <c r="M55" s="9" t="str">
        <f t="shared" si="105"/>
        <v/>
      </c>
      <c r="N55" s="9" t="str">
        <f t="shared" si="105"/>
        <v/>
      </c>
      <c r="O55" s="9" t="str">
        <f t="shared" si="105"/>
        <v/>
      </c>
      <c r="P55" s="9" t="str">
        <f t="shared" si="105"/>
        <v/>
      </c>
      <c r="Q55" s="9" t="str">
        <f t="shared" si="105"/>
        <v/>
      </c>
      <c r="R55" s="9" t="str">
        <f t="shared" si="105"/>
        <v/>
      </c>
      <c r="S55" s="9" t="str">
        <f t="shared" si="105"/>
        <v/>
      </c>
      <c r="T55" s="9" t="str">
        <f t="shared" si="105"/>
        <v/>
      </c>
      <c r="U55" s="9" t="str">
        <f t="shared" si="105"/>
        <v/>
      </c>
      <c r="V55" s="9" t="str">
        <f t="shared" si="105"/>
        <v/>
      </c>
      <c r="W55" s="9" t="str">
        <f t="shared" si="105"/>
        <v/>
      </c>
      <c r="X55" s="9" t="str">
        <f t="shared" si="105"/>
        <v/>
      </c>
      <c r="Y55" s="9" t="str">
        <f t="shared" si="105"/>
        <v/>
      </c>
      <c r="Z55" s="9" t="str">
        <f t="shared" si="105"/>
        <v/>
      </c>
      <c r="AA55" s="9" t="str">
        <f t="shared" si="105"/>
        <v/>
      </c>
      <c r="AB55" s="9" t="str">
        <f t="shared" si="105"/>
        <v/>
      </c>
      <c r="AC55" s="9" t="str">
        <f t="shared" si="105"/>
        <v/>
      </c>
      <c r="AD55" s="9">
        <f t="shared" si="105"/>
        <v>38.724168912848157</v>
      </c>
      <c r="AE55" s="9" t="str">
        <f t="shared" si="105"/>
        <v/>
      </c>
      <c r="AF55" s="9" t="str">
        <f t="shared" si="105"/>
        <v/>
      </c>
      <c r="AG55" s="9" t="str">
        <f t="shared" si="105"/>
        <v/>
      </c>
      <c r="AH55" s="9" t="str">
        <f t="shared" si="105"/>
        <v/>
      </c>
      <c r="AI55" s="9" t="str">
        <f t="shared" si="105"/>
        <v/>
      </c>
      <c r="AJ55" s="9" t="str">
        <f t="shared" si="105"/>
        <v/>
      </c>
      <c r="AK55" s="9" t="str">
        <f t="shared" si="105"/>
        <v/>
      </c>
      <c r="AL55" s="9" t="str">
        <f t="shared" si="105"/>
        <v/>
      </c>
      <c r="AM55" s="9" t="str">
        <f t="shared" si="105"/>
        <v/>
      </c>
      <c r="AN55" s="9" t="str">
        <f t="shared" si="105"/>
        <v/>
      </c>
      <c r="AO55" s="9" t="str">
        <f t="shared" si="105"/>
        <v/>
      </c>
      <c r="AP55" s="9" t="str">
        <f t="shared" si="105"/>
        <v/>
      </c>
      <c r="AQ55" s="9" t="str">
        <f t="shared" si="105"/>
        <v/>
      </c>
      <c r="AR55" s="9" t="str">
        <f t="shared" si="105"/>
        <v/>
      </c>
      <c r="AS55" s="9" t="str">
        <f t="shared" si="105"/>
        <v/>
      </c>
      <c r="AT55" s="9" t="str">
        <f t="shared" si="105"/>
        <v/>
      </c>
      <c r="AU55" s="9" t="str">
        <f t="shared" si="105"/>
        <v/>
      </c>
      <c r="AV55" s="9" t="str">
        <f t="shared" si="105"/>
        <v/>
      </c>
      <c r="AW55" s="9" t="str">
        <f t="shared" si="105"/>
        <v/>
      </c>
      <c r="AX55" s="9" t="str">
        <f t="shared" si="105"/>
        <v/>
      </c>
      <c r="AY55" s="9" t="str">
        <f t="shared" si="105"/>
        <v/>
      </c>
      <c r="AZ55" s="9" t="str">
        <f t="shared" si="105"/>
        <v/>
      </c>
      <c r="BA55" s="9" t="str">
        <f t="shared" si="105"/>
        <v/>
      </c>
      <c r="BB55" s="9" t="str">
        <f t="shared" si="105"/>
        <v/>
      </c>
      <c r="BC55" s="9" t="str">
        <f t="shared" si="105"/>
        <v/>
      </c>
      <c r="BD55" s="9" t="str">
        <f t="shared" si="105"/>
        <v/>
      </c>
      <c r="BE55" s="9" t="str">
        <f t="shared" si="105"/>
        <v/>
      </c>
    </row>
    <row r="56" spans="1:57" x14ac:dyDescent="0.25">
      <c r="A56" s="159" t="s">
        <v>589</v>
      </c>
      <c r="B56" s="9" t="str">
        <f t="shared" si="106"/>
        <v/>
      </c>
      <c r="C56" s="9">
        <f t="shared" si="105"/>
        <v>41.666666666666671</v>
      </c>
      <c r="D56" s="9" t="str">
        <f t="shared" si="105"/>
        <v/>
      </c>
      <c r="E56" s="9" t="str">
        <f t="shared" si="105"/>
        <v/>
      </c>
      <c r="F56" s="9" t="str">
        <f t="shared" si="105"/>
        <v/>
      </c>
      <c r="G56" s="9" t="str">
        <f t="shared" si="105"/>
        <v/>
      </c>
      <c r="H56" s="9" t="str">
        <f t="shared" si="105"/>
        <v/>
      </c>
      <c r="I56" s="9" t="str">
        <f t="shared" si="105"/>
        <v/>
      </c>
      <c r="J56" s="9" t="str">
        <f t="shared" si="105"/>
        <v/>
      </c>
      <c r="K56" s="9" t="str">
        <f t="shared" si="105"/>
        <v/>
      </c>
      <c r="L56" s="9" t="str">
        <f t="shared" si="105"/>
        <v/>
      </c>
      <c r="M56" s="9" t="str">
        <f t="shared" si="105"/>
        <v/>
      </c>
      <c r="N56" s="9" t="str">
        <f t="shared" si="105"/>
        <v/>
      </c>
      <c r="O56" s="9" t="str">
        <f t="shared" si="105"/>
        <v/>
      </c>
      <c r="P56" s="9" t="str">
        <f t="shared" si="105"/>
        <v/>
      </c>
      <c r="Q56" s="9" t="str">
        <f t="shared" si="105"/>
        <v/>
      </c>
      <c r="R56" s="9" t="str">
        <f t="shared" si="105"/>
        <v/>
      </c>
      <c r="S56" s="9" t="str">
        <f t="shared" si="105"/>
        <v/>
      </c>
      <c r="T56" s="9" t="str">
        <f t="shared" si="105"/>
        <v/>
      </c>
      <c r="U56" s="9" t="str">
        <f t="shared" si="105"/>
        <v/>
      </c>
      <c r="V56" s="9" t="str">
        <f t="shared" si="105"/>
        <v/>
      </c>
      <c r="W56" s="9" t="str">
        <f t="shared" si="105"/>
        <v/>
      </c>
      <c r="X56" s="9" t="str">
        <f t="shared" si="105"/>
        <v/>
      </c>
      <c r="Y56" s="9" t="str">
        <f t="shared" si="105"/>
        <v/>
      </c>
      <c r="Z56" s="9" t="str">
        <f t="shared" si="105"/>
        <v/>
      </c>
      <c r="AA56" s="9" t="str">
        <f t="shared" si="105"/>
        <v/>
      </c>
      <c r="AB56" s="9" t="str">
        <f t="shared" si="105"/>
        <v/>
      </c>
      <c r="AC56" s="9" t="str">
        <f t="shared" si="105"/>
        <v/>
      </c>
      <c r="AD56" s="9">
        <f t="shared" si="105"/>
        <v>183.33333333333334</v>
      </c>
      <c r="AE56" s="9" t="str">
        <f t="shared" si="105"/>
        <v/>
      </c>
      <c r="AF56" s="9" t="str">
        <f t="shared" si="105"/>
        <v/>
      </c>
      <c r="AG56" s="9" t="str">
        <f t="shared" si="105"/>
        <v/>
      </c>
      <c r="AH56" s="9" t="str">
        <f t="shared" si="105"/>
        <v/>
      </c>
      <c r="AI56" s="9" t="str">
        <f t="shared" si="105"/>
        <v/>
      </c>
      <c r="AJ56" s="9" t="str">
        <f t="shared" si="105"/>
        <v/>
      </c>
      <c r="AK56" s="9" t="str">
        <f t="shared" si="105"/>
        <v/>
      </c>
      <c r="AL56" s="9" t="str">
        <f t="shared" si="105"/>
        <v/>
      </c>
      <c r="AM56" s="9" t="str">
        <f t="shared" si="105"/>
        <v/>
      </c>
      <c r="AN56" s="9" t="str">
        <f t="shared" si="105"/>
        <v/>
      </c>
      <c r="AO56" s="9" t="str">
        <f t="shared" si="105"/>
        <v/>
      </c>
      <c r="AP56" s="9" t="str">
        <f t="shared" si="105"/>
        <v/>
      </c>
      <c r="AQ56" s="9" t="str">
        <f t="shared" si="105"/>
        <v/>
      </c>
      <c r="AR56" s="9" t="str">
        <f t="shared" si="105"/>
        <v/>
      </c>
      <c r="AS56" s="9" t="str">
        <f t="shared" si="105"/>
        <v/>
      </c>
      <c r="AT56" s="9" t="str">
        <f t="shared" si="105"/>
        <v/>
      </c>
      <c r="AU56" s="9" t="str">
        <f t="shared" si="105"/>
        <v/>
      </c>
      <c r="AV56" s="9" t="str">
        <f t="shared" si="105"/>
        <v/>
      </c>
      <c r="AW56" s="9" t="str">
        <f t="shared" si="105"/>
        <v/>
      </c>
      <c r="AX56" s="9" t="str">
        <f t="shared" si="105"/>
        <v/>
      </c>
      <c r="AY56" s="9" t="str">
        <f t="shared" si="105"/>
        <v/>
      </c>
      <c r="AZ56" s="9" t="str">
        <f t="shared" si="105"/>
        <v/>
      </c>
      <c r="BA56" s="9" t="str">
        <f t="shared" ref="BA56:BE56" si="107">IF(BA28="","",HLOOKUP(BA28,$1:$50,50,FALSE))</f>
        <v/>
      </c>
      <c r="BB56" s="9" t="str">
        <f t="shared" si="107"/>
        <v/>
      </c>
      <c r="BC56" s="9" t="str">
        <f t="shared" si="107"/>
        <v/>
      </c>
      <c r="BD56" s="9" t="str">
        <f t="shared" si="107"/>
        <v/>
      </c>
      <c r="BE56" s="9" t="str">
        <f t="shared" si="107"/>
        <v/>
      </c>
    </row>
    <row r="57" spans="1:57" x14ac:dyDescent="0.25">
      <c r="A57" s="159" t="s">
        <v>590</v>
      </c>
      <c r="B57" s="9">
        <f>SUM(B52:B56,B17)</f>
        <v>3.6866359447004609</v>
      </c>
      <c r="C57" s="9">
        <f t="shared" ref="C57:BE57" si="108">SUM(C52:C56,C17)</f>
        <v>385.28645414332857</v>
      </c>
      <c r="D57" s="9">
        <f t="shared" si="108"/>
        <v>220.80916873791773</v>
      </c>
      <c r="E57" s="9">
        <f t="shared" si="108"/>
        <v>9.0086157211773106</v>
      </c>
      <c r="F57" s="9">
        <f t="shared" si="108"/>
        <v>41.265344664778098</v>
      </c>
      <c r="G57" s="9">
        <f t="shared" si="108"/>
        <v>93.113844669561033</v>
      </c>
      <c r="H57" s="9">
        <f t="shared" si="108"/>
        <v>3.1578947368421053</v>
      </c>
      <c r="I57" s="9">
        <f t="shared" si="108"/>
        <v>510.48536094358474</v>
      </c>
      <c r="J57" s="9">
        <f t="shared" si="108"/>
        <v>510.80413970405522</v>
      </c>
      <c r="K57" s="9">
        <f t="shared" si="108"/>
        <v>4.1597337770382694</v>
      </c>
      <c r="L57" s="9">
        <f t="shared" si="108"/>
        <v>2.7686770338240043</v>
      </c>
      <c r="M57" s="9">
        <f t="shared" si="108"/>
        <v>4.0232641178499744</v>
      </c>
      <c r="N57" s="9">
        <f t="shared" si="108"/>
        <v>75</v>
      </c>
      <c r="O57" s="9">
        <f t="shared" si="108"/>
        <v>33.333333333333336</v>
      </c>
      <c r="P57" s="9">
        <f t="shared" si="108"/>
        <v>58.333333333333336</v>
      </c>
      <c r="Q57" s="9">
        <f t="shared" si="108"/>
        <v>33.333333333333336</v>
      </c>
      <c r="R57" s="9">
        <f t="shared" si="108"/>
        <v>50</v>
      </c>
      <c r="S57" s="9">
        <f t="shared" si="108"/>
        <v>38.724168912848157</v>
      </c>
      <c r="T57" s="9">
        <f t="shared" si="108"/>
        <v>2.9850746268656718</v>
      </c>
      <c r="U57" s="9">
        <f t="shared" si="108"/>
        <v>2.9339853300733498</v>
      </c>
      <c r="V57" s="9">
        <f t="shared" si="108"/>
        <v>108.33333333333334</v>
      </c>
      <c r="W57" s="9">
        <f t="shared" si="108"/>
        <v>339.98308387363846</v>
      </c>
      <c r="X57" s="9">
        <f t="shared" si="108"/>
        <v>4.9155145929339481</v>
      </c>
      <c r="Y57" s="9">
        <f t="shared" si="108"/>
        <v>111.70727897532022</v>
      </c>
      <c r="Z57" s="9">
        <f t="shared" si="108"/>
        <v>103.06670074111935</v>
      </c>
      <c r="AA57" s="9">
        <f t="shared" si="108"/>
        <v>3.3846084591857681</v>
      </c>
      <c r="AB57" s="9">
        <f t="shared" si="108"/>
        <v>4.4198895027624312</v>
      </c>
      <c r="AC57" s="9">
        <f t="shared" si="108"/>
        <v>116.66666666666667</v>
      </c>
      <c r="AD57" s="9">
        <f t="shared" si="108"/>
        <v>506.15686765274933</v>
      </c>
      <c r="AE57" s="9">
        <f t="shared" si="108"/>
        <v>196.18514950609554</v>
      </c>
      <c r="AF57" s="9">
        <f t="shared" si="108"/>
        <v>6.3331222292590246</v>
      </c>
      <c r="AG57" s="9">
        <f t="shared" si="108"/>
        <v>78.236209996803709</v>
      </c>
      <c r="AH57" s="9">
        <f t="shared" si="108"/>
        <v>2.6462484488573672</v>
      </c>
      <c r="AI57" s="9">
        <f t="shared" si="108"/>
        <v>7.0247570938514343</v>
      </c>
      <c r="AJ57" s="9">
        <f t="shared" si="108"/>
        <v>183.33333333333334</v>
      </c>
      <c r="AK57" s="9">
        <f t="shared" si="108"/>
        <v>55.735708062471041</v>
      </c>
      <c r="AL57" s="9">
        <f t="shared" si="108"/>
        <v>55.735708062471041</v>
      </c>
      <c r="AM57" s="9">
        <f t="shared" si="108"/>
        <v>55.735708062471041</v>
      </c>
      <c r="AN57" s="9">
        <f t="shared" si="108"/>
        <v>8.5158034706056132</v>
      </c>
      <c r="AO57" s="9">
        <f t="shared" si="108"/>
        <v>41.666666666666671</v>
      </c>
      <c r="AP57" s="9">
        <f t="shared" si="108"/>
        <v>204.81215702885635</v>
      </c>
      <c r="AQ57" s="9">
        <f t="shared" si="108"/>
        <v>84.14754004606479</v>
      </c>
      <c r="AR57" s="9">
        <f t="shared" si="108"/>
        <v>44.581056466302371</v>
      </c>
      <c r="AS57" s="9">
        <f t="shared" si="108"/>
        <v>201.94928843452482</v>
      </c>
      <c r="AT57" s="9">
        <f t="shared" si="108"/>
        <v>100</v>
      </c>
      <c r="AU57" s="9">
        <f t="shared" si="108"/>
        <v>100</v>
      </c>
      <c r="AV57" s="9">
        <f t="shared" si="108"/>
        <v>108.95938112461027</v>
      </c>
      <c r="AW57" s="9">
        <f t="shared" si="108"/>
        <v>113.39151408859919</v>
      </c>
      <c r="AX57" s="9">
        <f t="shared" si="108"/>
        <v>5.342237061769616</v>
      </c>
      <c r="AY57" s="9">
        <f t="shared" si="108"/>
        <v>5.342237061769616</v>
      </c>
      <c r="AZ57" s="9">
        <f t="shared" si="108"/>
        <v>5.342237061769616</v>
      </c>
      <c r="BA57" s="9">
        <f t="shared" si="108"/>
        <v>4.3204320432043204</v>
      </c>
      <c r="BB57" s="9">
        <f t="shared" si="108"/>
        <v>4.0972017440346917</v>
      </c>
      <c r="BC57" s="9">
        <f t="shared" si="108"/>
        <v>1.2351747227520642</v>
      </c>
      <c r="BD57" s="9">
        <f t="shared" si="108"/>
        <v>1.4148232674930235</v>
      </c>
      <c r="BE57" s="9">
        <f t="shared" si="108"/>
        <v>50</v>
      </c>
    </row>
    <row r="58" spans="1:57" s="13" customFormat="1" ht="7.5" customHeight="1" x14ac:dyDescent="0.25">
      <c r="A58" s="159"/>
    </row>
    <row r="59" spans="1:57" x14ac:dyDescent="0.25">
      <c r="A59" s="159" t="s">
        <v>591</v>
      </c>
      <c r="B59" s="166">
        <f>B17</f>
        <v>3.6866359447004609</v>
      </c>
      <c r="C59" s="166">
        <f>C17</f>
        <v>3.3195020746887964</v>
      </c>
      <c r="D59" s="166">
        <f t="shared" ref="D59:BE59" si="109">D17</f>
        <v>4.1425020712510356</v>
      </c>
      <c r="E59" s="166">
        <f t="shared" si="109"/>
        <v>5.3219797764768497</v>
      </c>
      <c r="F59" s="166">
        <f t="shared" si="109"/>
        <v>7.9320113314447598</v>
      </c>
      <c r="G59" s="166">
        <f t="shared" si="109"/>
        <v>1.4471780028943559</v>
      </c>
      <c r="H59" s="166">
        <f t="shared" si="109"/>
        <v>3.1578947368421053</v>
      </c>
      <c r="I59" s="166">
        <f t="shared" si="109"/>
        <v>4.3284932908353992</v>
      </c>
      <c r="J59" s="166">
        <f t="shared" si="109"/>
        <v>4.6472720513058832</v>
      </c>
      <c r="K59" s="166">
        <f t="shared" si="109"/>
        <v>4.1597337770382694</v>
      </c>
      <c r="L59" s="166">
        <f t="shared" si="109"/>
        <v>2.7686770338240043</v>
      </c>
      <c r="M59" s="166">
        <f t="shared" si="109"/>
        <v>1.2545870840259701</v>
      </c>
      <c r="N59" s="166">
        <f t="shared" si="109"/>
        <v>75</v>
      </c>
      <c r="O59" s="166">
        <f t="shared" si="109"/>
        <v>33.333333333333336</v>
      </c>
      <c r="P59" s="166">
        <f t="shared" si="109"/>
        <v>58.333333333333336</v>
      </c>
      <c r="Q59" s="166">
        <f t="shared" si="109"/>
        <v>33.333333333333336</v>
      </c>
      <c r="R59" s="166">
        <f t="shared" si="109"/>
        <v>50</v>
      </c>
      <c r="S59" s="166">
        <f t="shared" si="109"/>
        <v>5.3908355795148246</v>
      </c>
      <c r="T59" s="166">
        <f t="shared" si="109"/>
        <v>2.9850746268656718</v>
      </c>
      <c r="U59" s="166">
        <f t="shared" si="109"/>
        <v>2.9339853300733498</v>
      </c>
      <c r="V59" s="166">
        <f t="shared" si="109"/>
        <v>108.33333333333334</v>
      </c>
      <c r="W59" s="166">
        <f t="shared" si="109"/>
        <v>3.3694344163658241</v>
      </c>
      <c r="X59" s="166">
        <f t="shared" si="109"/>
        <v>4.9155145929339481</v>
      </c>
      <c r="Y59" s="166">
        <f t="shared" si="109"/>
        <v>3.3739456419868792</v>
      </c>
      <c r="Z59" s="166">
        <f t="shared" si="109"/>
        <v>3.0667007411193459</v>
      </c>
      <c r="AA59" s="166">
        <f t="shared" si="109"/>
        <v>3.3846084591857681</v>
      </c>
      <c r="AB59" s="166">
        <f t="shared" si="109"/>
        <v>4.4198895027624312</v>
      </c>
      <c r="AC59" s="166">
        <f t="shared" si="109"/>
        <v>116.66666666666667</v>
      </c>
      <c r="AD59" s="166">
        <f t="shared" si="109"/>
        <v>3.7899296155928535</v>
      </c>
      <c r="AE59" s="166">
        <f t="shared" si="109"/>
        <v>12.85181617276219</v>
      </c>
      <c r="AF59" s="166">
        <f t="shared" si="109"/>
        <v>6.3331222292590246</v>
      </c>
      <c r="AG59" s="166">
        <f t="shared" si="109"/>
        <v>3.2362099968037032</v>
      </c>
      <c r="AH59" s="166">
        <f t="shared" si="109"/>
        <v>2.6462484488573672</v>
      </c>
      <c r="AI59" s="166">
        <f t="shared" si="109"/>
        <v>7.0247570938514343</v>
      </c>
      <c r="AJ59" s="166">
        <f t="shared" si="109"/>
        <v>183.33333333333334</v>
      </c>
      <c r="AK59" s="166">
        <f t="shared" si="109"/>
        <v>0</v>
      </c>
      <c r="AL59" s="166">
        <f t="shared" si="109"/>
        <v>0</v>
      </c>
      <c r="AM59" s="166">
        <f t="shared" si="109"/>
        <v>5.7357080624710379</v>
      </c>
      <c r="AN59" s="166">
        <f t="shared" si="109"/>
        <v>5.7471264367816088</v>
      </c>
      <c r="AO59" s="166">
        <f t="shared" si="109"/>
        <v>41.666666666666671</v>
      </c>
      <c r="AP59" s="166">
        <f t="shared" si="109"/>
        <v>2.8628685943315202</v>
      </c>
      <c r="AQ59" s="166">
        <f t="shared" si="109"/>
        <v>5.9113300492610845</v>
      </c>
      <c r="AR59" s="166">
        <f t="shared" si="109"/>
        <v>2.9143897996357011</v>
      </c>
      <c r="AS59" s="166">
        <f t="shared" si="109"/>
        <v>5.764138928429281</v>
      </c>
      <c r="AT59" s="166">
        <f t="shared" si="109"/>
        <v>100</v>
      </c>
      <c r="AU59" s="166">
        <f t="shared" si="109"/>
        <v>100</v>
      </c>
      <c r="AV59" s="166">
        <f t="shared" si="109"/>
        <v>5.8926803834909247</v>
      </c>
      <c r="AW59" s="166">
        <f t="shared" si="109"/>
        <v>4.43213296398892</v>
      </c>
      <c r="AX59" s="166">
        <f t="shared" si="109"/>
        <v>5.342237061769616</v>
      </c>
      <c r="AY59" s="166">
        <f t="shared" si="109"/>
        <v>0</v>
      </c>
      <c r="AZ59" s="166">
        <f t="shared" si="109"/>
        <v>0</v>
      </c>
      <c r="BA59" s="166">
        <f t="shared" si="109"/>
        <v>4.3204320432043204</v>
      </c>
      <c r="BB59" s="166">
        <f t="shared" si="109"/>
        <v>1.4509532951773245</v>
      </c>
      <c r="BC59" s="166">
        <f t="shared" si="109"/>
        <v>1.2351747227520642</v>
      </c>
      <c r="BD59" s="166">
        <f t="shared" si="109"/>
        <v>1.4148232674930235</v>
      </c>
      <c r="BE59" s="166">
        <f t="shared" si="109"/>
        <v>50</v>
      </c>
    </row>
    <row r="60" spans="1:57" x14ac:dyDescent="0.25">
      <c r="A60" s="159" t="s">
        <v>592</v>
      </c>
      <c r="B60" s="166">
        <f>B36-B59</f>
        <v>0</v>
      </c>
      <c r="C60" s="166">
        <f>C36-C59</f>
        <v>54.320703619782371</v>
      </c>
      <c r="D60" s="166">
        <f t="shared" ref="D60:BE60" si="110">D36-D59</f>
        <v>216.66666666666669</v>
      </c>
      <c r="E60" s="166">
        <f t="shared" si="110"/>
        <v>3.6866359447004609</v>
      </c>
      <c r="F60" s="166">
        <f t="shared" si="110"/>
        <v>33.333333333333336</v>
      </c>
      <c r="G60" s="166">
        <f t="shared" si="110"/>
        <v>91.666666666666671</v>
      </c>
      <c r="H60" s="166">
        <f t="shared" si="110"/>
        <v>0</v>
      </c>
      <c r="I60" s="166">
        <f t="shared" si="110"/>
        <v>3.789929615592853</v>
      </c>
      <c r="J60" s="166">
        <f t="shared" si="110"/>
        <v>3.7899296155928539</v>
      </c>
      <c r="K60" s="166">
        <f t="shared" si="110"/>
        <v>0</v>
      </c>
      <c r="L60" s="166">
        <f t="shared" si="110"/>
        <v>0</v>
      </c>
      <c r="M60" s="166">
        <f t="shared" si="110"/>
        <v>2.7686770338240043</v>
      </c>
      <c r="N60" s="166">
        <f t="shared" si="110"/>
        <v>0</v>
      </c>
      <c r="O60" s="166">
        <f t="shared" si="110"/>
        <v>0</v>
      </c>
      <c r="P60" s="166">
        <f t="shared" si="110"/>
        <v>0</v>
      </c>
      <c r="Q60" s="166">
        <f t="shared" si="110"/>
        <v>0</v>
      </c>
      <c r="R60" s="166">
        <f t="shared" si="110"/>
        <v>0</v>
      </c>
      <c r="S60" s="166">
        <f t="shared" si="110"/>
        <v>33.333333333333329</v>
      </c>
      <c r="T60" s="166">
        <f t="shared" si="110"/>
        <v>0</v>
      </c>
      <c r="U60" s="166">
        <f t="shared" si="110"/>
        <v>0</v>
      </c>
      <c r="V60" s="166">
        <f t="shared" si="110"/>
        <v>0</v>
      </c>
      <c r="W60" s="166">
        <f t="shared" si="110"/>
        <v>8.9674010084152389</v>
      </c>
      <c r="X60" s="166">
        <f t="shared" si="110"/>
        <v>0</v>
      </c>
      <c r="Y60" s="166">
        <f t="shared" si="110"/>
        <v>108.33333333333334</v>
      </c>
      <c r="Z60" s="166">
        <f t="shared" si="110"/>
        <v>100</v>
      </c>
      <c r="AA60" s="166">
        <f t="shared" si="110"/>
        <v>0</v>
      </c>
      <c r="AB60" s="166">
        <f t="shared" si="110"/>
        <v>0</v>
      </c>
      <c r="AC60" s="166">
        <f t="shared" si="110"/>
        <v>0</v>
      </c>
      <c r="AD60" s="166">
        <f t="shared" si="110"/>
        <v>199.30023729603715</v>
      </c>
      <c r="AE60" s="166">
        <f t="shared" si="110"/>
        <v>183.33333333333334</v>
      </c>
      <c r="AF60" s="166">
        <f t="shared" si="110"/>
        <v>0</v>
      </c>
      <c r="AG60" s="166">
        <f t="shared" si="110"/>
        <v>75</v>
      </c>
      <c r="AH60" s="166">
        <f t="shared" si="110"/>
        <v>0</v>
      </c>
      <c r="AI60" s="166">
        <f t="shared" si="110"/>
        <v>0</v>
      </c>
      <c r="AJ60" s="166">
        <f t="shared" si="110"/>
        <v>0</v>
      </c>
      <c r="AK60" s="166">
        <f t="shared" si="110"/>
        <v>0</v>
      </c>
      <c r="AL60" s="166">
        <f t="shared" si="110"/>
        <v>5.7357080624710379</v>
      </c>
      <c r="AM60" s="166">
        <f t="shared" si="110"/>
        <v>50</v>
      </c>
      <c r="AN60" s="166">
        <f t="shared" si="110"/>
        <v>2.7686770338240043</v>
      </c>
      <c r="AO60" s="166">
        <f t="shared" si="110"/>
        <v>0</v>
      </c>
      <c r="AP60" s="166">
        <f t="shared" si="110"/>
        <v>5.764138928429281</v>
      </c>
      <c r="AQ60" s="166">
        <f t="shared" si="110"/>
        <v>3.2362099968037024</v>
      </c>
      <c r="AR60" s="166">
        <f t="shared" si="110"/>
        <v>41.666666666666671</v>
      </c>
      <c r="AS60" s="166">
        <f t="shared" si="110"/>
        <v>12.85181617276219</v>
      </c>
      <c r="AT60" s="166">
        <f t="shared" si="110"/>
        <v>0</v>
      </c>
      <c r="AU60" s="166">
        <f t="shared" si="110"/>
        <v>0</v>
      </c>
      <c r="AV60" s="166">
        <f t="shared" si="110"/>
        <v>3.0667007411193463</v>
      </c>
      <c r="AW60" s="166">
        <f t="shared" si="110"/>
        <v>5.8926803834909247</v>
      </c>
      <c r="AX60" s="166">
        <f t="shared" si="110"/>
        <v>0</v>
      </c>
      <c r="AY60" s="166">
        <f t="shared" si="110"/>
        <v>5.342237061769616</v>
      </c>
      <c r="AZ60" s="166">
        <f t="shared" si="110"/>
        <v>0</v>
      </c>
      <c r="BA60" s="166">
        <f t="shared" si="110"/>
        <v>0</v>
      </c>
      <c r="BB60" s="166">
        <f t="shared" si="110"/>
        <v>2.6462484488573672</v>
      </c>
      <c r="BC60" s="166">
        <f t="shared" si="110"/>
        <v>0</v>
      </c>
      <c r="BD60" s="166">
        <f t="shared" si="110"/>
        <v>0</v>
      </c>
      <c r="BE60" s="166">
        <f t="shared" si="110"/>
        <v>0</v>
      </c>
    </row>
    <row r="61" spans="1:57" x14ac:dyDescent="0.25">
      <c r="A61" s="159" t="s">
        <v>593</v>
      </c>
      <c r="B61" s="166">
        <f>B43-SUM(B59:B60)</f>
        <v>0</v>
      </c>
      <c r="C61" s="166">
        <f>C43-SUM(C59:C60)</f>
        <v>327.64624844885742</v>
      </c>
      <c r="D61" s="166">
        <f t="shared" ref="D61:BE61" si="111">D43-SUM(D59:D60)</f>
        <v>0</v>
      </c>
      <c r="E61" s="166">
        <f t="shared" si="111"/>
        <v>0</v>
      </c>
      <c r="F61" s="166">
        <f t="shared" si="111"/>
        <v>0</v>
      </c>
      <c r="G61" s="166">
        <f t="shared" si="111"/>
        <v>0</v>
      </c>
      <c r="H61" s="166">
        <f t="shared" si="111"/>
        <v>0</v>
      </c>
      <c r="I61" s="166">
        <f t="shared" si="111"/>
        <v>199.30023729603715</v>
      </c>
      <c r="J61" s="166">
        <f t="shared" si="111"/>
        <v>199.30023729603715</v>
      </c>
      <c r="K61" s="166">
        <f t="shared" si="111"/>
        <v>0</v>
      </c>
      <c r="L61" s="166">
        <f t="shared" si="111"/>
        <v>0</v>
      </c>
      <c r="M61" s="166">
        <f t="shared" si="111"/>
        <v>0</v>
      </c>
      <c r="N61" s="166">
        <f t="shared" si="111"/>
        <v>0</v>
      </c>
      <c r="O61" s="166">
        <f t="shared" si="111"/>
        <v>0</v>
      </c>
      <c r="P61" s="166">
        <f t="shared" si="111"/>
        <v>0</v>
      </c>
      <c r="Q61" s="166">
        <f t="shared" si="111"/>
        <v>0</v>
      </c>
      <c r="R61" s="166">
        <f t="shared" si="111"/>
        <v>0</v>
      </c>
      <c r="S61" s="166">
        <f t="shared" si="111"/>
        <v>0</v>
      </c>
      <c r="T61" s="166">
        <f t="shared" si="111"/>
        <v>0</v>
      </c>
      <c r="U61" s="166">
        <f t="shared" si="111"/>
        <v>0</v>
      </c>
      <c r="V61" s="166">
        <f t="shared" si="111"/>
        <v>0</v>
      </c>
      <c r="W61" s="166">
        <f t="shared" si="111"/>
        <v>327.64624844885742</v>
      </c>
      <c r="X61" s="166">
        <f t="shared" si="111"/>
        <v>0</v>
      </c>
      <c r="Y61" s="166">
        <f t="shared" si="111"/>
        <v>0</v>
      </c>
      <c r="Z61" s="166">
        <f t="shared" si="111"/>
        <v>0</v>
      </c>
      <c r="AA61" s="166">
        <f t="shared" si="111"/>
        <v>0</v>
      </c>
      <c r="AB61" s="166">
        <f t="shared" si="111"/>
        <v>0</v>
      </c>
      <c r="AC61" s="166">
        <f t="shared" si="111"/>
        <v>0</v>
      </c>
      <c r="AD61" s="166">
        <f t="shared" si="111"/>
        <v>203.06670074111932</v>
      </c>
      <c r="AE61" s="166">
        <f t="shared" si="111"/>
        <v>0</v>
      </c>
      <c r="AF61" s="166">
        <f t="shared" si="111"/>
        <v>0</v>
      </c>
      <c r="AG61" s="166">
        <f t="shared" si="111"/>
        <v>0</v>
      </c>
      <c r="AH61" s="166">
        <f t="shared" si="111"/>
        <v>0</v>
      </c>
      <c r="AI61" s="166">
        <f t="shared" si="111"/>
        <v>0</v>
      </c>
      <c r="AJ61" s="166">
        <f t="shared" si="111"/>
        <v>0</v>
      </c>
      <c r="AK61" s="166">
        <f t="shared" si="111"/>
        <v>5.7357080624710379</v>
      </c>
      <c r="AL61" s="166">
        <f t="shared" si="111"/>
        <v>50</v>
      </c>
      <c r="AM61" s="166">
        <f t="shared" si="111"/>
        <v>0</v>
      </c>
      <c r="AN61" s="166">
        <f t="shared" si="111"/>
        <v>0</v>
      </c>
      <c r="AO61" s="166">
        <f t="shared" si="111"/>
        <v>0</v>
      </c>
      <c r="AP61" s="166">
        <f t="shared" si="111"/>
        <v>12.85181617276219</v>
      </c>
      <c r="AQ61" s="166">
        <f t="shared" si="111"/>
        <v>75</v>
      </c>
      <c r="AR61" s="166">
        <f t="shared" si="111"/>
        <v>0</v>
      </c>
      <c r="AS61" s="166">
        <f t="shared" si="111"/>
        <v>183.33333333333334</v>
      </c>
      <c r="AT61" s="166">
        <f t="shared" si="111"/>
        <v>0</v>
      </c>
      <c r="AU61" s="166">
        <f t="shared" si="111"/>
        <v>0</v>
      </c>
      <c r="AV61" s="166">
        <f t="shared" si="111"/>
        <v>100</v>
      </c>
      <c r="AW61" s="166">
        <f t="shared" si="111"/>
        <v>3.0667007411193463</v>
      </c>
      <c r="AX61" s="166">
        <f t="shared" si="111"/>
        <v>0</v>
      </c>
      <c r="AY61" s="166">
        <f t="shared" si="111"/>
        <v>0</v>
      </c>
      <c r="AZ61" s="166">
        <f t="shared" si="111"/>
        <v>5.342237061769616</v>
      </c>
      <c r="BA61" s="166">
        <f t="shared" si="111"/>
        <v>0</v>
      </c>
      <c r="BB61" s="166">
        <f t="shared" si="111"/>
        <v>0</v>
      </c>
      <c r="BC61" s="166">
        <f t="shared" si="111"/>
        <v>0</v>
      </c>
      <c r="BD61" s="166">
        <f t="shared" si="111"/>
        <v>0</v>
      </c>
      <c r="BE61" s="166">
        <f t="shared" si="111"/>
        <v>0</v>
      </c>
    </row>
    <row r="62" spans="1:57" x14ac:dyDescent="0.25">
      <c r="A62" s="159" t="s">
        <v>594</v>
      </c>
      <c r="B62" s="166">
        <f>B50-SUM(B59:B61)</f>
        <v>0</v>
      </c>
      <c r="C62" s="166">
        <f>C50-SUM(C59:C61)</f>
        <v>0</v>
      </c>
      <c r="D62" s="166">
        <f t="shared" ref="D62:BE62" si="112">D50-SUM(D59:D61)</f>
        <v>0</v>
      </c>
      <c r="E62" s="166">
        <f t="shared" si="112"/>
        <v>0</v>
      </c>
      <c r="F62" s="166">
        <f t="shared" si="112"/>
        <v>0</v>
      </c>
      <c r="G62" s="166">
        <f t="shared" si="112"/>
        <v>0</v>
      </c>
      <c r="H62" s="166">
        <f t="shared" si="112"/>
        <v>0</v>
      </c>
      <c r="I62" s="166">
        <f t="shared" si="112"/>
        <v>203.06670074111932</v>
      </c>
      <c r="J62" s="166">
        <f t="shared" si="112"/>
        <v>203.06670074111932</v>
      </c>
      <c r="K62" s="166">
        <f t="shared" si="112"/>
        <v>0</v>
      </c>
      <c r="L62" s="166">
        <f t="shared" si="112"/>
        <v>0</v>
      </c>
      <c r="M62" s="166">
        <f t="shared" si="112"/>
        <v>0</v>
      </c>
      <c r="N62" s="166">
        <f t="shared" si="112"/>
        <v>0</v>
      </c>
      <c r="O62" s="166">
        <f t="shared" si="112"/>
        <v>0</v>
      </c>
      <c r="P62" s="166">
        <f t="shared" si="112"/>
        <v>0</v>
      </c>
      <c r="Q62" s="166">
        <f t="shared" si="112"/>
        <v>0</v>
      </c>
      <c r="R62" s="166">
        <f t="shared" si="112"/>
        <v>0</v>
      </c>
      <c r="S62" s="166">
        <f t="shared" si="112"/>
        <v>0</v>
      </c>
      <c r="T62" s="166">
        <f t="shared" si="112"/>
        <v>0</v>
      </c>
      <c r="U62" s="166">
        <f t="shared" si="112"/>
        <v>0</v>
      </c>
      <c r="V62" s="166">
        <f t="shared" si="112"/>
        <v>0</v>
      </c>
      <c r="W62" s="166">
        <f t="shared" si="112"/>
        <v>0</v>
      </c>
      <c r="X62" s="166">
        <f t="shared" si="112"/>
        <v>0</v>
      </c>
      <c r="Y62" s="166">
        <f t="shared" si="112"/>
        <v>0</v>
      </c>
      <c r="Z62" s="166">
        <f t="shared" si="112"/>
        <v>0</v>
      </c>
      <c r="AA62" s="166">
        <f t="shared" si="112"/>
        <v>0</v>
      </c>
      <c r="AB62" s="166">
        <f t="shared" si="112"/>
        <v>0</v>
      </c>
      <c r="AC62" s="166">
        <f t="shared" si="112"/>
        <v>0</v>
      </c>
      <c r="AD62" s="166">
        <f t="shared" si="112"/>
        <v>100</v>
      </c>
      <c r="AE62" s="166">
        <f t="shared" si="112"/>
        <v>0</v>
      </c>
      <c r="AF62" s="166">
        <f t="shared" si="112"/>
        <v>0</v>
      </c>
      <c r="AG62" s="166">
        <f t="shared" si="112"/>
        <v>0</v>
      </c>
      <c r="AH62" s="166">
        <f t="shared" si="112"/>
        <v>0</v>
      </c>
      <c r="AI62" s="166">
        <f t="shared" si="112"/>
        <v>0</v>
      </c>
      <c r="AJ62" s="166">
        <f t="shared" si="112"/>
        <v>0</v>
      </c>
      <c r="AK62" s="166">
        <f t="shared" si="112"/>
        <v>50</v>
      </c>
      <c r="AL62" s="166">
        <f t="shared" si="112"/>
        <v>0</v>
      </c>
      <c r="AM62" s="166">
        <f t="shared" si="112"/>
        <v>0</v>
      </c>
      <c r="AN62" s="166">
        <f t="shared" si="112"/>
        <v>0</v>
      </c>
      <c r="AO62" s="166">
        <f t="shared" si="112"/>
        <v>0</v>
      </c>
      <c r="AP62" s="166">
        <f t="shared" si="112"/>
        <v>183.33333333333337</v>
      </c>
      <c r="AQ62" s="166">
        <f t="shared" si="112"/>
        <v>0</v>
      </c>
      <c r="AR62" s="166">
        <f t="shared" si="112"/>
        <v>0</v>
      </c>
      <c r="AS62" s="166">
        <f t="shared" si="112"/>
        <v>0</v>
      </c>
      <c r="AT62" s="166">
        <f t="shared" si="112"/>
        <v>0</v>
      </c>
      <c r="AU62" s="166">
        <f t="shared" si="112"/>
        <v>0</v>
      </c>
      <c r="AV62" s="166">
        <f t="shared" si="112"/>
        <v>0</v>
      </c>
      <c r="AW62" s="166">
        <f t="shared" si="112"/>
        <v>100</v>
      </c>
      <c r="AX62" s="166">
        <f t="shared" si="112"/>
        <v>0</v>
      </c>
      <c r="AY62" s="166">
        <f t="shared" si="112"/>
        <v>0</v>
      </c>
      <c r="AZ62" s="166">
        <f t="shared" si="112"/>
        <v>0</v>
      </c>
      <c r="BA62" s="166">
        <f t="shared" si="112"/>
        <v>0</v>
      </c>
      <c r="BB62" s="166">
        <f t="shared" si="112"/>
        <v>0</v>
      </c>
      <c r="BC62" s="166">
        <f t="shared" si="112"/>
        <v>0</v>
      </c>
      <c r="BD62" s="166">
        <f t="shared" si="112"/>
        <v>0</v>
      </c>
      <c r="BE62" s="166">
        <f t="shared" si="112"/>
        <v>0</v>
      </c>
    </row>
    <row r="63" spans="1:57" x14ac:dyDescent="0.25">
      <c r="A63" s="159" t="s">
        <v>595</v>
      </c>
      <c r="B63" s="166">
        <f>B57-SUM(B59:B62)</f>
        <v>0</v>
      </c>
      <c r="C63" s="166">
        <f>C57-SUM(C59:C62)</f>
        <v>0</v>
      </c>
      <c r="D63" s="166">
        <f t="shared" ref="D63:BE63" si="113">D57-SUM(D59:D62)</f>
        <v>0</v>
      </c>
      <c r="E63" s="166">
        <f t="shared" si="113"/>
        <v>0</v>
      </c>
      <c r="F63" s="166">
        <f t="shared" si="113"/>
        <v>0</v>
      </c>
      <c r="G63" s="166">
        <f t="shared" si="113"/>
        <v>0</v>
      </c>
      <c r="H63" s="166">
        <f t="shared" si="113"/>
        <v>0</v>
      </c>
      <c r="I63" s="166">
        <f t="shared" si="113"/>
        <v>100</v>
      </c>
      <c r="J63" s="166">
        <f t="shared" si="113"/>
        <v>100</v>
      </c>
      <c r="K63" s="166">
        <f t="shared" si="113"/>
        <v>0</v>
      </c>
      <c r="L63" s="166">
        <f t="shared" si="113"/>
        <v>0</v>
      </c>
      <c r="M63" s="166">
        <f t="shared" si="113"/>
        <v>0</v>
      </c>
      <c r="N63" s="166">
        <f t="shared" si="113"/>
        <v>0</v>
      </c>
      <c r="O63" s="166">
        <f t="shared" si="113"/>
        <v>0</v>
      </c>
      <c r="P63" s="166">
        <f t="shared" si="113"/>
        <v>0</v>
      </c>
      <c r="Q63" s="166">
        <f t="shared" si="113"/>
        <v>0</v>
      </c>
      <c r="R63" s="166">
        <f t="shared" si="113"/>
        <v>0</v>
      </c>
      <c r="S63" s="166">
        <f t="shared" si="113"/>
        <v>0</v>
      </c>
      <c r="T63" s="166">
        <f t="shared" si="113"/>
        <v>0</v>
      </c>
      <c r="U63" s="166">
        <f t="shared" si="113"/>
        <v>0</v>
      </c>
      <c r="V63" s="166">
        <f t="shared" si="113"/>
        <v>0</v>
      </c>
      <c r="W63" s="166">
        <f t="shared" si="113"/>
        <v>0</v>
      </c>
      <c r="X63" s="166">
        <f t="shared" si="113"/>
        <v>0</v>
      </c>
      <c r="Y63" s="166">
        <f t="shared" si="113"/>
        <v>0</v>
      </c>
      <c r="Z63" s="166">
        <f t="shared" si="113"/>
        <v>0</v>
      </c>
      <c r="AA63" s="166">
        <f t="shared" si="113"/>
        <v>0</v>
      </c>
      <c r="AB63" s="166">
        <f t="shared" si="113"/>
        <v>0</v>
      </c>
      <c r="AC63" s="166">
        <f t="shared" si="113"/>
        <v>0</v>
      </c>
      <c r="AD63" s="166">
        <f t="shared" si="113"/>
        <v>0</v>
      </c>
      <c r="AE63" s="166">
        <f t="shared" si="113"/>
        <v>0</v>
      </c>
      <c r="AF63" s="166">
        <f t="shared" si="113"/>
        <v>0</v>
      </c>
      <c r="AG63" s="166">
        <f t="shared" si="113"/>
        <v>0</v>
      </c>
      <c r="AH63" s="166">
        <f t="shared" si="113"/>
        <v>0</v>
      </c>
      <c r="AI63" s="166">
        <f t="shared" si="113"/>
        <v>0</v>
      </c>
      <c r="AJ63" s="166">
        <f t="shared" si="113"/>
        <v>0</v>
      </c>
      <c r="AK63" s="166">
        <f t="shared" si="113"/>
        <v>0</v>
      </c>
      <c r="AL63" s="166">
        <f t="shared" si="113"/>
        <v>0</v>
      </c>
      <c r="AM63" s="166">
        <f t="shared" si="113"/>
        <v>0</v>
      </c>
      <c r="AN63" s="166">
        <f t="shared" si="113"/>
        <v>0</v>
      </c>
      <c r="AO63" s="166">
        <f t="shared" si="113"/>
        <v>0</v>
      </c>
      <c r="AP63" s="166">
        <f t="shared" si="113"/>
        <v>0</v>
      </c>
      <c r="AQ63" s="166">
        <f t="shared" si="113"/>
        <v>0</v>
      </c>
      <c r="AR63" s="166">
        <f t="shared" si="113"/>
        <v>0</v>
      </c>
      <c r="AS63" s="166">
        <f t="shared" si="113"/>
        <v>0</v>
      </c>
      <c r="AT63" s="166">
        <f t="shared" si="113"/>
        <v>0</v>
      </c>
      <c r="AU63" s="166">
        <f t="shared" si="113"/>
        <v>0</v>
      </c>
      <c r="AV63" s="166">
        <f t="shared" si="113"/>
        <v>0</v>
      </c>
      <c r="AW63" s="166">
        <f t="shared" si="113"/>
        <v>0</v>
      </c>
      <c r="AX63" s="166">
        <f t="shared" si="113"/>
        <v>0</v>
      </c>
      <c r="AY63" s="166">
        <f t="shared" si="113"/>
        <v>0</v>
      </c>
      <c r="AZ63" s="166">
        <f t="shared" si="113"/>
        <v>0</v>
      </c>
      <c r="BA63" s="166">
        <f t="shared" si="113"/>
        <v>0</v>
      </c>
      <c r="BB63" s="166">
        <f t="shared" si="113"/>
        <v>0</v>
      </c>
      <c r="BC63" s="166">
        <f t="shared" si="113"/>
        <v>0</v>
      </c>
      <c r="BD63" s="166">
        <f t="shared" si="113"/>
        <v>0</v>
      </c>
      <c r="BE63" s="166">
        <f t="shared" si="113"/>
        <v>0</v>
      </c>
    </row>
    <row r="64" spans="1:57" s="159" customFormat="1" x14ac:dyDescent="0.25">
      <c r="A64" s="159" t="s">
        <v>493</v>
      </c>
      <c r="B64" s="167">
        <f>IF(B6=TRUE,B59+B60*0.8+B61*0.6+B62*0.4+B63*0.2,0)</f>
        <v>3.6866359447004609</v>
      </c>
      <c r="C64" s="167">
        <f t="shared" ref="C64:BE64" si="114">IF(C6=TRUE,C59+C60*0.8+C61*0.6+C62*0.4+C63*0.2,0)</f>
        <v>243.36381403982915</v>
      </c>
      <c r="D64" s="167">
        <f t="shared" si="114"/>
        <v>177.47583540458442</v>
      </c>
      <c r="E64" s="167">
        <f t="shared" si="114"/>
        <v>8.271288532237218</v>
      </c>
      <c r="F64" s="167">
        <f t="shared" si="114"/>
        <v>34.598677998111434</v>
      </c>
      <c r="G64" s="167">
        <f t="shared" si="114"/>
        <v>74.780511336227704</v>
      </c>
      <c r="H64" s="167">
        <f t="shared" si="114"/>
        <v>3.1578947368421053</v>
      </c>
      <c r="I64" s="167">
        <f t="shared" si="114"/>
        <v>228.1672596573797</v>
      </c>
      <c r="J64" s="167">
        <f t="shared" si="114"/>
        <v>228.48603841785018</v>
      </c>
      <c r="K64" s="167">
        <f t="shared" si="114"/>
        <v>4.1597337770382694</v>
      </c>
      <c r="L64" s="167">
        <f t="shared" si="114"/>
        <v>2.7686770338240043</v>
      </c>
      <c r="M64" s="167">
        <f t="shared" si="114"/>
        <v>3.4695287110851738</v>
      </c>
      <c r="N64" s="167">
        <f t="shared" si="114"/>
        <v>75</v>
      </c>
      <c r="O64" s="167">
        <f t="shared" si="114"/>
        <v>33.333333333333336</v>
      </c>
      <c r="P64" s="167">
        <f t="shared" si="114"/>
        <v>58.333333333333336</v>
      </c>
      <c r="Q64" s="167">
        <f t="shared" si="114"/>
        <v>33.333333333333336</v>
      </c>
      <c r="R64" s="167">
        <f t="shared" si="114"/>
        <v>50</v>
      </c>
      <c r="S64" s="167">
        <f t="shared" si="114"/>
        <v>32.057502246181485</v>
      </c>
      <c r="T64" s="167">
        <f t="shared" si="114"/>
        <v>2.9850746268656718</v>
      </c>
      <c r="U64" s="167">
        <f t="shared" si="114"/>
        <v>2.9339853300733498</v>
      </c>
      <c r="V64" s="167">
        <f t="shared" si="114"/>
        <v>108.33333333333334</v>
      </c>
      <c r="W64" s="167">
        <f t="shared" si="114"/>
        <v>207.13110429241246</v>
      </c>
      <c r="X64" s="167">
        <f t="shared" si="114"/>
        <v>4.9155145929339481</v>
      </c>
      <c r="Y64" s="167">
        <f t="shared" si="114"/>
        <v>90.040612308653564</v>
      </c>
      <c r="Z64" s="167">
        <f t="shared" si="114"/>
        <v>83.066700741119348</v>
      </c>
      <c r="AA64" s="167">
        <f t="shared" si="114"/>
        <v>3.3846084591857681</v>
      </c>
      <c r="AB64" s="167">
        <f t="shared" si="114"/>
        <v>4.4198895027624312</v>
      </c>
      <c r="AC64" s="167">
        <f t="shared" si="114"/>
        <v>116.66666666666667</v>
      </c>
      <c r="AD64" s="167">
        <f t="shared" si="114"/>
        <v>325.07013989709418</v>
      </c>
      <c r="AE64" s="167">
        <f t="shared" si="114"/>
        <v>159.51848283942888</v>
      </c>
      <c r="AF64" s="167">
        <f t="shared" si="114"/>
        <v>6.3331222292590246</v>
      </c>
      <c r="AG64" s="167">
        <f t="shared" si="114"/>
        <v>63.236209996803701</v>
      </c>
      <c r="AH64" s="167">
        <f t="shared" si="114"/>
        <v>2.6462484488573672</v>
      </c>
      <c r="AI64" s="167">
        <f t="shared" si="114"/>
        <v>7.0247570938514343</v>
      </c>
      <c r="AJ64" s="167">
        <f t="shared" si="114"/>
        <v>183.33333333333334</v>
      </c>
      <c r="AK64" s="167">
        <f t="shared" si="114"/>
        <v>23.441424837482622</v>
      </c>
      <c r="AL64" s="167">
        <f t="shared" si="114"/>
        <v>0</v>
      </c>
      <c r="AM64" s="167">
        <f t="shared" si="114"/>
        <v>0</v>
      </c>
      <c r="AN64" s="167">
        <f t="shared" si="114"/>
        <v>7.9620680638408121</v>
      </c>
      <c r="AO64" s="167">
        <f t="shared" si="114"/>
        <v>41.666666666666671</v>
      </c>
      <c r="AP64" s="167">
        <f t="shared" si="114"/>
        <v>88.518602774065613</v>
      </c>
      <c r="AQ64" s="167">
        <f t="shared" si="114"/>
        <v>53.500298046704046</v>
      </c>
      <c r="AR64" s="167">
        <f t="shared" si="114"/>
        <v>36.247723132969035</v>
      </c>
      <c r="AS64" s="167">
        <f t="shared" si="114"/>
        <v>126.04559186663903</v>
      </c>
      <c r="AT64" s="167">
        <f t="shared" si="114"/>
        <v>100</v>
      </c>
      <c r="AU64" s="167">
        <f t="shared" si="114"/>
        <v>100</v>
      </c>
      <c r="AV64" s="167">
        <f t="shared" si="114"/>
        <v>68.346040976386405</v>
      </c>
      <c r="AW64" s="167">
        <f t="shared" si="114"/>
        <v>50.986297715453269</v>
      </c>
      <c r="AX64" s="167">
        <f t="shared" si="114"/>
        <v>5.342237061769616</v>
      </c>
      <c r="AY64" s="167">
        <f t="shared" si="114"/>
        <v>4.2737896494156926</v>
      </c>
      <c r="AZ64" s="167">
        <f t="shared" si="114"/>
        <v>3.2053422370617697</v>
      </c>
      <c r="BA64" s="167">
        <f t="shared" si="114"/>
        <v>4.3204320432043204</v>
      </c>
      <c r="BB64" s="167">
        <f t="shared" si="114"/>
        <v>3.5679520542632184</v>
      </c>
      <c r="BC64" s="167">
        <f t="shared" si="114"/>
        <v>1.2351747227520642</v>
      </c>
      <c r="BD64" s="167">
        <f t="shared" si="114"/>
        <v>1.4148232674930235</v>
      </c>
      <c r="BE64" s="167">
        <f t="shared" si="114"/>
        <v>0</v>
      </c>
    </row>
    <row r="65" spans="1:57" s="159" customFormat="1" x14ac:dyDescent="0.25">
      <c r="A65" s="159" t="s">
        <v>598</v>
      </c>
      <c r="B65" s="168">
        <f>HLOOKUP(B64,67:68,2,FALSE)</f>
        <v>42</v>
      </c>
      <c r="C65" s="168">
        <f t="shared" ref="C65:BE65" si="115">HLOOKUP(C64,67:68,2,FALSE)</f>
        <v>2</v>
      </c>
      <c r="D65" s="168">
        <f t="shared" si="115"/>
        <v>7</v>
      </c>
      <c r="E65" s="168">
        <f t="shared" si="115"/>
        <v>32</v>
      </c>
      <c r="F65" s="168">
        <f t="shared" si="115"/>
        <v>27</v>
      </c>
      <c r="G65" s="168">
        <f t="shared" si="115"/>
        <v>18</v>
      </c>
      <c r="H65" s="168">
        <f t="shared" si="115"/>
        <v>47</v>
      </c>
      <c r="I65" s="168">
        <f t="shared" si="115"/>
        <v>4</v>
      </c>
      <c r="J65" s="168">
        <f t="shared" si="115"/>
        <v>3</v>
      </c>
      <c r="K65" s="168">
        <f t="shared" si="115"/>
        <v>41</v>
      </c>
      <c r="L65" s="168">
        <f t="shared" si="115"/>
        <v>50</v>
      </c>
      <c r="M65" s="168">
        <f t="shared" si="115"/>
        <v>44</v>
      </c>
      <c r="N65" s="168">
        <f t="shared" si="115"/>
        <v>17</v>
      </c>
      <c r="O65" s="168">
        <f t="shared" si="115"/>
        <v>28</v>
      </c>
      <c r="P65" s="168">
        <f t="shared" si="115"/>
        <v>21</v>
      </c>
      <c r="Q65" s="168">
        <f t="shared" si="115"/>
        <v>28</v>
      </c>
      <c r="R65" s="168">
        <f t="shared" si="115"/>
        <v>24</v>
      </c>
      <c r="S65" s="168">
        <f t="shared" si="115"/>
        <v>30</v>
      </c>
      <c r="T65" s="168">
        <f t="shared" si="115"/>
        <v>48</v>
      </c>
      <c r="U65" s="168">
        <f t="shared" si="115"/>
        <v>49</v>
      </c>
      <c r="V65" s="168">
        <f t="shared" si="115"/>
        <v>11</v>
      </c>
      <c r="W65" s="168">
        <f t="shared" si="115"/>
        <v>5</v>
      </c>
      <c r="X65" s="168">
        <f t="shared" si="115"/>
        <v>37</v>
      </c>
      <c r="Y65" s="168">
        <f t="shared" si="115"/>
        <v>14</v>
      </c>
      <c r="Z65" s="168">
        <f t="shared" si="115"/>
        <v>16</v>
      </c>
      <c r="AA65" s="168">
        <f t="shared" si="115"/>
        <v>45</v>
      </c>
      <c r="AB65" s="168">
        <f t="shared" si="115"/>
        <v>38</v>
      </c>
      <c r="AC65" s="168">
        <f t="shared" si="115"/>
        <v>10</v>
      </c>
      <c r="AD65" s="168">
        <f t="shared" si="115"/>
        <v>1</v>
      </c>
      <c r="AE65" s="168">
        <f t="shared" si="115"/>
        <v>8</v>
      </c>
      <c r="AF65" s="168">
        <f t="shared" si="115"/>
        <v>35</v>
      </c>
      <c r="AG65" s="168">
        <f t="shared" si="115"/>
        <v>20</v>
      </c>
      <c r="AH65" s="168">
        <f t="shared" si="115"/>
        <v>51</v>
      </c>
      <c r="AI65" s="168">
        <f t="shared" si="115"/>
        <v>34</v>
      </c>
      <c r="AJ65" s="168">
        <f t="shared" si="115"/>
        <v>6</v>
      </c>
      <c r="AK65" s="168">
        <f t="shared" si="115"/>
        <v>31</v>
      </c>
      <c r="AL65" s="168">
        <f t="shared" si="115"/>
        <v>54</v>
      </c>
      <c r="AM65" s="168">
        <f t="shared" si="115"/>
        <v>54</v>
      </c>
      <c r="AN65" s="168">
        <f t="shared" si="115"/>
        <v>33</v>
      </c>
      <c r="AO65" s="168">
        <f t="shared" si="115"/>
        <v>25</v>
      </c>
      <c r="AP65" s="168">
        <f t="shared" si="115"/>
        <v>15</v>
      </c>
      <c r="AQ65" s="168">
        <f t="shared" si="115"/>
        <v>22</v>
      </c>
      <c r="AR65" s="168">
        <f t="shared" si="115"/>
        <v>26</v>
      </c>
      <c r="AS65" s="168">
        <f t="shared" si="115"/>
        <v>9</v>
      </c>
      <c r="AT65" s="168">
        <f t="shared" si="115"/>
        <v>12</v>
      </c>
      <c r="AU65" s="168">
        <f t="shared" si="115"/>
        <v>12</v>
      </c>
      <c r="AV65" s="168">
        <f t="shared" si="115"/>
        <v>19</v>
      </c>
      <c r="AW65" s="168">
        <f t="shared" si="115"/>
        <v>23</v>
      </c>
      <c r="AX65" s="168">
        <f t="shared" si="115"/>
        <v>36</v>
      </c>
      <c r="AY65" s="168">
        <f t="shared" si="115"/>
        <v>40</v>
      </c>
      <c r="AZ65" s="168">
        <f t="shared" si="115"/>
        <v>46</v>
      </c>
      <c r="BA65" s="168">
        <f t="shared" si="115"/>
        <v>39</v>
      </c>
      <c r="BB65" s="168">
        <f t="shared" si="115"/>
        <v>43</v>
      </c>
      <c r="BC65" s="168">
        <f t="shared" si="115"/>
        <v>53</v>
      </c>
      <c r="BD65" s="168">
        <f t="shared" si="115"/>
        <v>52</v>
      </c>
      <c r="BE65" s="168">
        <f t="shared" si="115"/>
        <v>54</v>
      </c>
    </row>
    <row r="66" spans="1:57" s="159" customFormat="1" ht="7.5" customHeight="1" x14ac:dyDescent="0.25"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</row>
    <row r="67" spans="1:57" x14ac:dyDescent="0.25">
      <c r="A67" s="159" t="s">
        <v>596</v>
      </c>
      <c r="B67" s="27">
        <f>LARGE(64:64,B68)</f>
        <v>325.07013989709418</v>
      </c>
      <c r="C67" s="27">
        <f t="shared" ref="C67:BE67" si="116">LARGE(64:64,C68)</f>
        <v>243.36381403982915</v>
      </c>
      <c r="D67" s="27">
        <f t="shared" si="116"/>
        <v>228.48603841785018</v>
      </c>
      <c r="E67" s="27">
        <f t="shared" si="116"/>
        <v>228.1672596573797</v>
      </c>
      <c r="F67" s="27">
        <f t="shared" si="116"/>
        <v>207.13110429241246</v>
      </c>
      <c r="G67" s="27">
        <f t="shared" si="116"/>
        <v>183.33333333333334</v>
      </c>
      <c r="H67" s="27">
        <f t="shared" si="116"/>
        <v>177.47583540458442</v>
      </c>
      <c r="I67" s="27">
        <f t="shared" si="116"/>
        <v>159.51848283942888</v>
      </c>
      <c r="J67" s="27">
        <f t="shared" si="116"/>
        <v>126.04559186663903</v>
      </c>
      <c r="K67" s="27">
        <f t="shared" si="116"/>
        <v>116.66666666666667</v>
      </c>
      <c r="L67" s="27">
        <f t="shared" si="116"/>
        <v>108.33333333333334</v>
      </c>
      <c r="M67" s="27">
        <f t="shared" si="116"/>
        <v>100</v>
      </c>
      <c r="N67" s="27">
        <f t="shared" si="116"/>
        <v>100</v>
      </c>
      <c r="O67" s="27">
        <f t="shared" si="116"/>
        <v>90.040612308653564</v>
      </c>
      <c r="P67" s="27">
        <f t="shared" si="116"/>
        <v>88.518602774065613</v>
      </c>
      <c r="Q67" s="27">
        <f t="shared" si="116"/>
        <v>83.066700741119348</v>
      </c>
      <c r="R67" s="27">
        <f t="shared" si="116"/>
        <v>75</v>
      </c>
      <c r="S67" s="27">
        <f t="shared" si="116"/>
        <v>74.780511336227704</v>
      </c>
      <c r="T67" s="27">
        <f t="shared" si="116"/>
        <v>68.346040976386405</v>
      </c>
      <c r="U67" s="27">
        <f t="shared" si="116"/>
        <v>63.236209996803701</v>
      </c>
      <c r="V67" s="27">
        <f t="shared" si="116"/>
        <v>58.333333333333336</v>
      </c>
      <c r="W67" s="27">
        <f t="shared" si="116"/>
        <v>53.500298046704046</v>
      </c>
      <c r="X67" s="27">
        <f t="shared" si="116"/>
        <v>50.986297715453269</v>
      </c>
      <c r="Y67" s="27">
        <f t="shared" si="116"/>
        <v>50</v>
      </c>
      <c r="Z67" s="27">
        <f t="shared" si="116"/>
        <v>41.666666666666671</v>
      </c>
      <c r="AA67" s="27">
        <f t="shared" si="116"/>
        <v>36.247723132969035</v>
      </c>
      <c r="AB67" s="27">
        <f t="shared" si="116"/>
        <v>34.598677998111434</v>
      </c>
      <c r="AC67" s="27">
        <f t="shared" si="116"/>
        <v>33.333333333333336</v>
      </c>
      <c r="AD67" s="27">
        <f t="shared" si="116"/>
        <v>33.333333333333336</v>
      </c>
      <c r="AE67" s="27">
        <f t="shared" si="116"/>
        <v>32.057502246181485</v>
      </c>
      <c r="AF67" s="27">
        <f t="shared" si="116"/>
        <v>23.441424837482622</v>
      </c>
      <c r="AG67" s="27">
        <f t="shared" si="116"/>
        <v>8.271288532237218</v>
      </c>
      <c r="AH67" s="27">
        <f t="shared" si="116"/>
        <v>7.9620680638408121</v>
      </c>
      <c r="AI67" s="27">
        <f t="shared" si="116"/>
        <v>7.0247570938514343</v>
      </c>
      <c r="AJ67" s="27">
        <f t="shared" si="116"/>
        <v>6.3331222292590246</v>
      </c>
      <c r="AK67" s="27">
        <f t="shared" si="116"/>
        <v>5.342237061769616</v>
      </c>
      <c r="AL67" s="27">
        <f t="shared" si="116"/>
        <v>4.9155145929339481</v>
      </c>
      <c r="AM67" s="27">
        <f t="shared" si="116"/>
        <v>4.4198895027624312</v>
      </c>
      <c r="AN67" s="27">
        <f t="shared" si="116"/>
        <v>4.3204320432043204</v>
      </c>
      <c r="AO67" s="27">
        <f t="shared" si="116"/>
        <v>4.2737896494156926</v>
      </c>
      <c r="AP67" s="27">
        <f t="shared" si="116"/>
        <v>4.1597337770382694</v>
      </c>
      <c r="AQ67" s="27">
        <f t="shared" si="116"/>
        <v>3.6866359447004609</v>
      </c>
      <c r="AR67" s="27">
        <f t="shared" si="116"/>
        <v>3.5679520542632184</v>
      </c>
      <c r="AS67" s="27">
        <f t="shared" si="116"/>
        <v>3.4695287110851738</v>
      </c>
      <c r="AT67" s="27">
        <f t="shared" si="116"/>
        <v>3.3846084591857681</v>
      </c>
      <c r="AU67" s="27">
        <f t="shared" si="116"/>
        <v>3.2053422370617697</v>
      </c>
      <c r="AV67" s="27">
        <f t="shared" si="116"/>
        <v>3.1578947368421053</v>
      </c>
      <c r="AW67" s="27">
        <f t="shared" si="116"/>
        <v>2.9850746268656718</v>
      </c>
      <c r="AX67" s="27">
        <f t="shared" si="116"/>
        <v>2.9339853300733498</v>
      </c>
      <c r="AY67" s="27">
        <f t="shared" si="116"/>
        <v>2.7686770338240043</v>
      </c>
      <c r="AZ67" s="27">
        <f t="shared" si="116"/>
        <v>2.6462484488573672</v>
      </c>
      <c r="BA67" s="27">
        <f t="shared" si="116"/>
        <v>1.4148232674930235</v>
      </c>
      <c r="BB67" s="27">
        <f t="shared" si="116"/>
        <v>1.2351747227520642</v>
      </c>
      <c r="BC67" s="27">
        <f t="shared" si="116"/>
        <v>0</v>
      </c>
      <c r="BD67" s="27">
        <f t="shared" si="116"/>
        <v>0</v>
      </c>
      <c r="BE67" s="27">
        <f t="shared" si="116"/>
        <v>0</v>
      </c>
    </row>
    <row r="68" spans="1:57" x14ac:dyDescent="0.25">
      <c r="A68" s="159" t="s">
        <v>597</v>
      </c>
      <c r="B68" s="27">
        <f>COLUMN(B67)-1</f>
        <v>1</v>
      </c>
      <c r="C68" s="27">
        <f t="shared" ref="C68:BE68" si="117">COLUMN(C67)-1</f>
        <v>2</v>
      </c>
      <c r="D68" s="27">
        <f t="shared" si="117"/>
        <v>3</v>
      </c>
      <c r="E68" s="27">
        <f t="shared" si="117"/>
        <v>4</v>
      </c>
      <c r="F68" s="27">
        <f t="shared" si="117"/>
        <v>5</v>
      </c>
      <c r="G68" s="27">
        <f t="shared" si="117"/>
        <v>6</v>
      </c>
      <c r="H68" s="27">
        <f t="shared" si="117"/>
        <v>7</v>
      </c>
      <c r="I68" s="27">
        <f t="shared" si="117"/>
        <v>8</v>
      </c>
      <c r="J68" s="27">
        <f t="shared" si="117"/>
        <v>9</v>
      </c>
      <c r="K68" s="27">
        <f t="shared" si="117"/>
        <v>10</v>
      </c>
      <c r="L68" s="27">
        <f t="shared" si="117"/>
        <v>11</v>
      </c>
      <c r="M68" s="27">
        <f t="shared" si="117"/>
        <v>12</v>
      </c>
      <c r="N68" s="27">
        <f t="shared" si="117"/>
        <v>13</v>
      </c>
      <c r="O68" s="27">
        <f t="shared" si="117"/>
        <v>14</v>
      </c>
      <c r="P68" s="27">
        <f t="shared" si="117"/>
        <v>15</v>
      </c>
      <c r="Q68" s="27">
        <f t="shared" si="117"/>
        <v>16</v>
      </c>
      <c r="R68" s="27">
        <f t="shared" si="117"/>
        <v>17</v>
      </c>
      <c r="S68" s="27">
        <f t="shared" si="117"/>
        <v>18</v>
      </c>
      <c r="T68" s="27">
        <f t="shared" si="117"/>
        <v>19</v>
      </c>
      <c r="U68" s="27">
        <f t="shared" si="117"/>
        <v>20</v>
      </c>
      <c r="V68" s="27">
        <f t="shared" si="117"/>
        <v>21</v>
      </c>
      <c r="W68" s="27">
        <f t="shared" si="117"/>
        <v>22</v>
      </c>
      <c r="X68" s="27">
        <f t="shared" si="117"/>
        <v>23</v>
      </c>
      <c r="Y68" s="27">
        <f t="shared" si="117"/>
        <v>24</v>
      </c>
      <c r="Z68" s="27">
        <f t="shared" si="117"/>
        <v>25</v>
      </c>
      <c r="AA68" s="27">
        <f t="shared" si="117"/>
        <v>26</v>
      </c>
      <c r="AB68" s="27">
        <f t="shared" si="117"/>
        <v>27</v>
      </c>
      <c r="AC68" s="27">
        <f t="shared" si="117"/>
        <v>28</v>
      </c>
      <c r="AD68" s="27">
        <f t="shared" si="117"/>
        <v>29</v>
      </c>
      <c r="AE68" s="27">
        <f t="shared" si="117"/>
        <v>30</v>
      </c>
      <c r="AF68" s="27">
        <f t="shared" si="117"/>
        <v>31</v>
      </c>
      <c r="AG68" s="27">
        <f t="shared" si="117"/>
        <v>32</v>
      </c>
      <c r="AH68" s="27">
        <f t="shared" si="117"/>
        <v>33</v>
      </c>
      <c r="AI68" s="27">
        <f t="shared" si="117"/>
        <v>34</v>
      </c>
      <c r="AJ68" s="27">
        <f t="shared" si="117"/>
        <v>35</v>
      </c>
      <c r="AK68" s="27">
        <f t="shared" si="117"/>
        <v>36</v>
      </c>
      <c r="AL68" s="27">
        <f t="shared" si="117"/>
        <v>37</v>
      </c>
      <c r="AM68" s="27">
        <f t="shared" si="117"/>
        <v>38</v>
      </c>
      <c r="AN68" s="27">
        <f t="shared" si="117"/>
        <v>39</v>
      </c>
      <c r="AO68" s="27">
        <f t="shared" si="117"/>
        <v>40</v>
      </c>
      <c r="AP68" s="27">
        <f t="shared" si="117"/>
        <v>41</v>
      </c>
      <c r="AQ68" s="27">
        <f t="shared" si="117"/>
        <v>42</v>
      </c>
      <c r="AR68" s="27">
        <f t="shared" si="117"/>
        <v>43</v>
      </c>
      <c r="AS68" s="27">
        <f t="shared" si="117"/>
        <v>44</v>
      </c>
      <c r="AT68" s="27">
        <f t="shared" si="117"/>
        <v>45</v>
      </c>
      <c r="AU68" s="27">
        <f t="shared" si="117"/>
        <v>46</v>
      </c>
      <c r="AV68" s="27">
        <f t="shared" si="117"/>
        <v>47</v>
      </c>
      <c r="AW68" s="27">
        <f t="shared" si="117"/>
        <v>48</v>
      </c>
      <c r="AX68" s="27">
        <f t="shared" si="117"/>
        <v>49</v>
      </c>
      <c r="AY68" s="27">
        <f t="shared" si="117"/>
        <v>50</v>
      </c>
      <c r="AZ68" s="27">
        <f t="shared" si="117"/>
        <v>51</v>
      </c>
      <c r="BA68" s="27">
        <f t="shared" si="117"/>
        <v>52</v>
      </c>
      <c r="BB68" s="27">
        <f t="shared" si="117"/>
        <v>53</v>
      </c>
      <c r="BC68" s="27">
        <f t="shared" si="117"/>
        <v>54</v>
      </c>
      <c r="BD68" s="27">
        <f t="shared" si="117"/>
        <v>55</v>
      </c>
      <c r="BE68" s="27">
        <f t="shared" si="117"/>
        <v>56</v>
      </c>
    </row>
    <row r="69" spans="1:57" s="13" customFormat="1" ht="7.5" customHeight="1" x14ac:dyDescent="0.25">
      <c r="A69" s="159"/>
    </row>
    <row r="70" spans="1:57" x14ac:dyDescent="0.25">
      <c r="A70" s="159" t="s">
        <v>643</v>
      </c>
      <c r="B70" s="27" t="str">
        <f>IF(B9=MAX(B9:B12),"gesamt",IF(B10=MAX(B9:B12),"Marketing",IF(B11=MAX(B9:B12),"Produktion",IF(B12=MAX(B9:B12),"IT","keine Preferenz"))))</f>
        <v>Produktion</v>
      </c>
      <c r="C70" s="27" t="str">
        <f t="shared" ref="C70:BE70" si="118">IF(C9=MAX(C9:C12),"gesamt",IF(C10=MAX(C9:C12),"Marketing",IF(C11=MAX(C9:C12),"Produktion",IF(C12=MAX(C9:C12),"IT","keine Preferenz"))))</f>
        <v>Produktion</v>
      </c>
      <c r="D70" s="27" t="str">
        <f t="shared" si="118"/>
        <v>Produktion</v>
      </c>
      <c r="E70" s="27" t="str">
        <f t="shared" si="118"/>
        <v>IT</v>
      </c>
      <c r="F70" s="27" t="str">
        <f t="shared" si="118"/>
        <v>Marketing</v>
      </c>
      <c r="G70" s="27" t="str">
        <f t="shared" si="118"/>
        <v>Marketing</v>
      </c>
      <c r="H70" s="27" t="str">
        <f t="shared" si="118"/>
        <v>Marketing</v>
      </c>
      <c r="I70" s="27" t="str">
        <f t="shared" si="118"/>
        <v>Marketing</v>
      </c>
      <c r="J70" s="27" t="str">
        <f t="shared" si="118"/>
        <v>Marketing</v>
      </c>
      <c r="K70" s="27" t="str">
        <f t="shared" si="118"/>
        <v>IT</v>
      </c>
      <c r="L70" s="27" t="str">
        <f t="shared" si="118"/>
        <v>Marketing</v>
      </c>
      <c r="M70" s="27" t="str">
        <f t="shared" si="118"/>
        <v>IT</v>
      </c>
      <c r="N70" s="27" t="str">
        <f t="shared" si="118"/>
        <v>Marketing</v>
      </c>
      <c r="O70" s="27" t="str">
        <f t="shared" si="118"/>
        <v>Marketing</v>
      </c>
      <c r="P70" s="27" t="str">
        <f t="shared" si="118"/>
        <v>Marketing</v>
      </c>
      <c r="Q70" s="27" t="str">
        <f t="shared" si="118"/>
        <v>Marketing</v>
      </c>
      <c r="R70" s="27" t="str">
        <f t="shared" si="118"/>
        <v>Marketing</v>
      </c>
      <c r="S70" s="27" t="str">
        <f t="shared" si="118"/>
        <v>Marketing</v>
      </c>
      <c r="T70" s="27" t="str">
        <f t="shared" si="118"/>
        <v>Marketing</v>
      </c>
      <c r="U70" s="27" t="str">
        <f t="shared" si="118"/>
        <v>Marketing</v>
      </c>
      <c r="V70" s="27" t="str">
        <f t="shared" si="118"/>
        <v>Produktion</v>
      </c>
      <c r="W70" s="27" t="str">
        <f t="shared" si="118"/>
        <v>Produktion</v>
      </c>
      <c r="X70" s="27" t="str">
        <f t="shared" si="118"/>
        <v>Marketing</v>
      </c>
      <c r="Y70" s="27" t="str">
        <f t="shared" si="118"/>
        <v>Produktion</v>
      </c>
      <c r="Z70" s="27" t="str">
        <f t="shared" si="118"/>
        <v>Marketing</v>
      </c>
      <c r="AA70" s="27" t="str">
        <f t="shared" si="118"/>
        <v>Produktion</v>
      </c>
      <c r="AB70" s="27" t="str">
        <f t="shared" si="118"/>
        <v>Produktion</v>
      </c>
      <c r="AC70" s="27" t="str">
        <f t="shared" si="118"/>
        <v>Marketing</v>
      </c>
      <c r="AD70" s="27" t="str">
        <f t="shared" si="118"/>
        <v>Marketing</v>
      </c>
      <c r="AE70" s="27" t="str">
        <f t="shared" si="118"/>
        <v>gesamt</v>
      </c>
      <c r="AF70" s="27" t="str">
        <f t="shared" si="118"/>
        <v>Produktion</v>
      </c>
      <c r="AG70" s="27" t="str">
        <f t="shared" si="118"/>
        <v>Marketing</v>
      </c>
      <c r="AH70" s="27" t="str">
        <f t="shared" si="118"/>
        <v>IT</v>
      </c>
      <c r="AI70" s="27" t="str">
        <f t="shared" si="118"/>
        <v>gesamt</v>
      </c>
      <c r="AJ70" s="27" t="str">
        <f t="shared" si="118"/>
        <v>gesamt</v>
      </c>
      <c r="AK70" s="27" t="str">
        <f t="shared" si="118"/>
        <v>gesamt</v>
      </c>
      <c r="AL70" s="27" t="str">
        <f t="shared" si="118"/>
        <v>gesamt</v>
      </c>
      <c r="AM70" s="27" t="str">
        <f t="shared" si="118"/>
        <v>IT</v>
      </c>
      <c r="AN70" s="27" t="str">
        <f t="shared" si="118"/>
        <v>Marketing</v>
      </c>
      <c r="AO70" s="27" t="str">
        <f t="shared" si="118"/>
        <v>Marketing</v>
      </c>
      <c r="AP70" s="27" t="str">
        <f t="shared" si="118"/>
        <v>IT</v>
      </c>
      <c r="AQ70" s="27" t="str">
        <f t="shared" si="118"/>
        <v>Marketing</v>
      </c>
      <c r="AR70" s="27" t="str">
        <f t="shared" si="118"/>
        <v>Marketing</v>
      </c>
      <c r="AS70" s="27" t="str">
        <f t="shared" si="118"/>
        <v>gesamt</v>
      </c>
      <c r="AT70" s="27" t="str">
        <f t="shared" si="118"/>
        <v>gesamt</v>
      </c>
      <c r="AU70" s="27" t="str">
        <f t="shared" si="118"/>
        <v>Marketing</v>
      </c>
      <c r="AV70" s="27" t="str">
        <f t="shared" si="118"/>
        <v>gesamt</v>
      </c>
      <c r="AW70" s="27" t="str">
        <f t="shared" si="118"/>
        <v>gesamt</v>
      </c>
      <c r="AX70" s="27" t="str">
        <f t="shared" si="118"/>
        <v>Produktion</v>
      </c>
      <c r="AY70" s="27" t="str">
        <f t="shared" si="118"/>
        <v>gesamt</v>
      </c>
      <c r="AZ70" s="27" t="str">
        <f t="shared" si="118"/>
        <v>gesamt</v>
      </c>
      <c r="BA70" s="27" t="str">
        <f t="shared" si="118"/>
        <v>Produktion</v>
      </c>
      <c r="BB70" s="27" t="str">
        <f t="shared" si="118"/>
        <v>IT</v>
      </c>
      <c r="BC70" s="27" t="str">
        <f t="shared" si="118"/>
        <v>IT</v>
      </c>
      <c r="BD70" s="27" t="str">
        <f t="shared" si="118"/>
        <v>IT</v>
      </c>
      <c r="BE70" s="27" t="str">
        <f t="shared" si="118"/>
        <v>IT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_NamenFelder"/>
  <dimension ref="B3:C58"/>
  <sheetViews>
    <sheetView topLeftCell="A25" workbookViewId="0">
      <selection activeCell="B44" sqref="B44"/>
    </sheetView>
  </sheetViews>
  <sheetFormatPr baseColWidth="10" defaultRowHeight="15" x14ac:dyDescent="0.25"/>
  <sheetData>
    <row r="3" spans="2:3" x14ac:dyDescent="0.25">
      <c r="B3" t="s">
        <v>676</v>
      </c>
      <c r="C3" t="s">
        <v>677</v>
      </c>
    </row>
    <row r="4" spans="2:3" x14ac:dyDescent="0.25">
      <c r="B4" t="s">
        <v>678</v>
      </c>
      <c r="C4" t="s">
        <v>679</v>
      </c>
    </row>
    <row r="5" spans="2:3" x14ac:dyDescent="0.25">
      <c r="B5" t="s">
        <v>680</v>
      </c>
      <c r="C5" t="s">
        <v>681</v>
      </c>
    </row>
    <row r="6" spans="2:3" x14ac:dyDescent="0.25">
      <c r="B6" t="s">
        <v>682</v>
      </c>
      <c r="C6" t="s">
        <v>683</v>
      </c>
    </row>
    <row r="7" spans="2:3" x14ac:dyDescent="0.25">
      <c r="B7" t="s">
        <v>684</v>
      </c>
      <c r="C7" t="s">
        <v>685</v>
      </c>
    </row>
    <row r="8" spans="2:3" x14ac:dyDescent="0.25">
      <c r="B8" t="s">
        <v>686</v>
      </c>
      <c r="C8" t="s">
        <v>687</v>
      </c>
    </row>
    <row r="9" spans="2:3" x14ac:dyDescent="0.25">
      <c r="B9" t="s">
        <v>688</v>
      </c>
      <c r="C9" t="s">
        <v>689</v>
      </c>
    </row>
    <row r="10" spans="2:3" x14ac:dyDescent="0.25">
      <c r="B10" t="s">
        <v>690</v>
      </c>
      <c r="C10" t="s">
        <v>691</v>
      </c>
    </row>
    <row r="11" spans="2:3" x14ac:dyDescent="0.25">
      <c r="B11" t="s">
        <v>692</v>
      </c>
      <c r="C11" t="s">
        <v>693</v>
      </c>
    </row>
    <row r="12" spans="2:3" x14ac:dyDescent="0.25">
      <c r="B12" t="s">
        <v>694</v>
      </c>
      <c r="C12" t="s">
        <v>695</v>
      </c>
    </row>
    <row r="13" spans="2:3" x14ac:dyDescent="0.25">
      <c r="B13" t="s">
        <v>696</v>
      </c>
      <c r="C13" t="s">
        <v>697</v>
      </c>
    </row>
    <row r="14" spans="2:3" x14ac:dyDescent="0.25">
      <c r="B14" t="s">
        <v>698</v>
      </c>
      <c r="C14" t="s">
        <v>699</v>
      </c>
    </row>
    <row r="15" spans="2:3" x14ac:dyDescent="0.25">
      <c r="B15" t="s">
        <v>700</v>
      </c>
      <c r="C15" t="s">
        <v>701</v>
      </c>
    </row>
    <row r="16" spans="2:3" x14ac:dyDescent="0.25">
      <c r="B16" t="s">
        <v>702</v>
      </c>
      <c r="C16" t="s">
        <v>703</v>
      </c>
    </row>
    <row r="17" spans="2:3" x14ac:dyDescent="0.25">
      <c r="B17" t="s">
        <v>704</v>
      </c>
      <c r="C17" t="s">
        <v>705</v>
      </c>
    </row>
    <row r="18" spans="2:3" x14ac:dyDescent="0.25">
      <c r="B18" t="s">
        <v>706</v>
      </c>
      <c r="C18" t="s">
        <v>707</v>
      </c>
    </row>
    <row r="19" spans="2:3" x14ac:dyDescent="0.25">
      <c r="B19" t="s">
        <v>708</v>
      </c>
      <c r="C19" t="s">
        <v>709</v>
      </c>
    </row>
    <row r="20" spans="2:3" x14ac:dyDescent="0.25">
      <c r="B20" t="s">
        <v>710</v>
      </c>
      <c r="C20" t="s">
        <v>711</v>
      </c>
    </row>
    <row r="21" spans="2:3" x14ac:dyDescent="0.25">
      <c r="B21" t="s">
        <v>712</v>
      </c>
      <c r="C21" t="s">
        <v>713</v>
      </c>
    </row>
    <row r="22" spans="2:3" x14ac:dyDescent="0.25">
      <c r="B22" t="s">
        <v>714</v>
      </c>
      <c r="C22" t="s">
        <v>715</v>
      </c>
    </row>
    <row r="23" spans="2:3" x14ac:dyDescent="0.25">
      <c r="B23" t="s">
        <v>716</v>
      </c>
      <c r="C23" t="s">
        <v>717</v>
      </c>
    </row>
    <row r="24" spans="2:3" x14ac:dyDescent="0.25">
      <c r="B24" t="s">
        <v>718</v>
      </c>
      <c r="C24" t="s">
        <v>719</v>
      </c>
    </row>
    <row r="25" spans="2:3" x14ac:dyDescent="0.25">
      <c r="B25" t="s">
        <v>720</v>
      </c>
      <c r="C25" t="s">
        <v>721</v>
      </c>
    </row>
    <row r="26" spans="2:3" x14ac:dyDescent="0.25">
      <c r="B26" t="s">
        <v>722</v>
      </c>
      <c r="C26" t="s">
        <v>723</v>
      </c>
    </row>
    <row r="27" spans="2:3" x14ac:dyDescent="0.25">
      <c r="B27" t="s">
        <v>724</v>
      </c>
      <c r="C27" t="s">
        <v>725</v>
      </c>
    </row>
    <row r="28" spans="2:3" x14ac:dyDescent="0.25">
      <c r="B28" t="s">
        <v>726</v>
      </c>
      <c r="C28" t="s">
        <v>727</v>
      </c>
    </row>
    <row r="29" spans="2:3" x14ac:dyDescent="0.25">
      <c r="B29" t="s">
        <v>728</v>
      </c>
      <c r="C29" t="s">
        <v>729</v>
      </c>
    </row>
    <row r="30" spans="2:3" x14ac:dyDescent="0.25">
      <c r="B30" t="s">
        <v>730</v>
      </c>
      <c r="C30" t="s">
        <v>731</v>
      </c>
    </row>
    <row r="31" spans="2:3" x14ac:dyDescent="0.25">
      <c r="B31" t="s">
        <v>732</v>
      </c>
      <c r="C31" t="s">
        <v>733</v>
      </c>
    </row>
    <row r="32" spans="2:3" ht="7.5" customHeight="1" x14ac:dyDescent="0.25"/>
    <row r="33" spans="2:3" x14ac:dyDescent="0.25">
      <c r="B33" t="s">
        <v>734</v>
      </c>
      <c r="C33" t="s">
        <v>735</v>
      </c>
    </row>
    <row r="34" spans="2:3" x14ac:dyDescent="0.25">
      <c r="B34" t="s">
        <v>736</v>
      </c>
      <c r="C34" t="s">
        <v>737</v>
      </c>
    </row>
    <row r="35" spans="2:3" x14ac:dyDescent="0.25">
      <c r="B35" t="s">
        <v>738</v>
      </c>
      <c r="C35" t="s">
        <v>739</v>
      </c>
    </row>
    <row r="36" spans="2:3" x14ac:dyDescent="0.25">
      <c r="B36" t="s">
        <v>740</v>
      </c>
      <c r="C36" t="s">
        <v>741</v>
      </c>
    </row>
    <row r="37" spans="2:3" x14ac:dyDescent="0.25">
      <c r="B37" t="s">
        <v>742</v>
      </c>
      <c r="C37" t="s">
        <v>743</v>
      </c>
    </row>
    <row r="38" spans="2:3" x14ac:dyDescent="0.25">
      <c r="B38" t="s">
        <v>744</v>
      </c>
      <c r="C38" t="s">
        <v>745</v>
      </c>
    </row>
    <row r="40" spans="2:3" x14ac:dyDescent="0.25">
      <c r="B40" t="s">
        <v>746</v>
      </c>
      <c r="C40" t="s">
        <v>747</v>
      </c>
    </row>
    <row r="41" spans="2:3" x14ac:dyDescent="0.25">
      <c r="B41" t="s">
        <v>780</v>
      </c>
      <c r="C41" t="s">
        <v>748</v>
      </c>
    </row>
    <row r="42" spans="2:3" x14ac:dyDescent="0.25">
      <c r="B42" t="s">
        <v>781</v>
      </c>
      <c r="C42" t="s">
        <v>749</v>
      </c>
    </row>
    <row r="43" spans="2:3" x14ac:dyDescent="0.25">
      <c r="B43" t="s">
        <v>750</v>
      </c>
      <c r="C43" t="s">
        <v>751</v>
      </c>
    </row>
    <row r="44" spans="2:3" x14ac:dyDescent="0.25">
      <c r="B44" t="s">
        <v>752</v>
      </c>
      <c r="C44" t="s">
        <v>753</v>
      </c>
    </row>
    <row r="46" spans="2:3" x14ac:dyDescent="0.25">
      <c r="B46" t="s">
        <v>754</v>
      </c>
      <c r="C46" t="s">
        <v>755</v>
      </c>
    </row>
    <row r="47" spans="2:3" x14ac:dyDescent="0.25">
      <c r="B47" t="s">
        <v>756</v>
      </c>
      <c r="C47" t="s">
        <v>757</v>
      </c>
    </row>
    <row r="48" spans="2:3" x14ac:dyDescent="0.25">
      <c r="B48" t="s">
        <v>758</v>
      </c>
      <c r="C48" t="s">
        <v>759</v>
      </c>
    </row>
    <row r="49" spans="2:3" x14ac:dyDescent="0.25">
      <c r="B49" t="s">
        <v>760</v>
      </c>
      <c r="C49" t="s">
        <v>761</v>
      </c>
    </row>
    <row r="50" spans="2:3" x14ac:dyDescent="0.25">
      <c r="B50" t="s">
        <v>762</v>
      </c>
      <c r="C50" t="s">
        <v>763</v>
      </c>
    </row>
    <row r="51" spans="2:3" x14ac:dyDescent="0.25">
      <c r="B51" t="s">
        <v>764</v>
      </c>
      <c r="C51" t="s">
        <v>765</v>
      </c>
    </row>
    <row r="52" spans="2:3" x14ac:dyDescent="0.25">
      <c r="B52" t="s">
        <v>766</v>
      </c>
      <c r="C52" t="s">
        <v>767</v>
      </c>
    </row>
    <row r="53" spans="2:3" x14ac:dyDescent="0.25">
      <c r="B53" t="s">
        <v>768</v>
      </c>
      <c r="C53" t="s">
        <v>769</v>
      </c>
    </row>
    <row r="54" spans="2:3" x14ac:dyDescent="0.25">
      <c r="B54" t="s">
        <v>770</v>
      </c>
      <c r="C54" t="s">
        <v>771</v>
      </c>
    </row>
    <row r="55" spans="2:3" x14ac:dyDescent="0.25">
      <c r="B55" t="s">
        <v>772</v>
      </c>
      <c r="C55" t="s">
        <v>773</v>
      </c>
    </row>
    <row r="56" spans="2:3" x14ac:dyDescent="0.25">
      <c r="B56" t="s">
        <v>774</v>
      </c>
      <c r="C56" t="s">
        <v>775</v>
      </c>
    </row>
    <row r="57" spans="2:3" x14ac:dyDescent="0.25">
      <c r="B57" t="s">
        <v>776</v>
      </c>
      <c r="C57" t="s">
        <v>777</v>
      </c>
    </row>
    <row r="58" spans="2:3" x14ac:dyDescent="0.25">
      <c r="B58" t="s">
        <v>778</v>
      </c>
      <c r="C58" t="s">
        <v>779</v>
      </c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Q62"/>
  <sheetViews>
    <sheetView topLeftCell="B1" workbookViewId="0">
      <selection activeCell="B8" sqref="B8"/>
    </sheetView>
  </sheetViews>
  <sheetFormatPr baseColWidth="10" defaultColWidth="17.85546875" defaultRowHeight="15" x14ac:dyDescent="0.25"/>
  <cols>
    <col min="1" max="1" width="35.42578125" style="210" bestFit="1" customWidth="1"/>
    <col min="2" max="17" width="17.85546875" style="27"/>
  </cols>
  <sheetData>
    <row r="1" spans="1:17" s="211" customFormat="1" ht="15.75" thickBot="1" x14ac:dyDescent="0.3">
      <c r="A1" s="212"/>
      <c r="B1" s="212" t="s">
        <v>128</v>
      </c>
      <c r="C1" s="213" t="s">
        <v>782</v>
      </c>
      <c r="D1" s="213" t="s">
        <v>783</v>
      </c>
      <c r="E1" s="213" t="s">
        <v>784</v>
      </c>
      <c r="F1" s="213" t="s">
        <v>785</v>
      </c>
      <c r="G1" s="213" t="s">
        <v>786</v>
      </c>
      <c r="H1" s="213" t="s">
        <v>787</v>
      </c>
      <c r="I1" s="213" t="s">
        <v>788</v>
      </c>
      <c r="J1" s="213" t="s">
        <v>789</v>
      </c>
      <c r="K1" s="213" t="s">
        <v>790</v>
      </c>
      <c r="L1" s="213" t="str">
        <f>IF('Balanced Score Card'!O1=0,"",'Balanced Score Card'!O1)</f>
        <v/>
      </c>
      <c r="M1" s="213" t="str">
        <f>IF('Balanced Score Card'!P1=0,"",'Balanced Score Card'!P1)</f>
        <v/>
      </c>
      <c r="N1" s="213" t="str">
        <f>IF('Balanced Score Card'!Q1=0,"",'Balanced Score Card'!Q1)</f>
        <v/>
      </c>
      <c r="O1" s="213" t="str">
        <f>IF('Balanced Score Card'!R1=0,"",'Balanced Score Card'!R1)</f>
        <v/>
      </c>
      <c r="P1" s="213" t="str">
        <f>IF('Balanced Score Card'!S1=0,"",'Balanced Score Card'!S1)</f>
        <v/>
      </c>
      <c r="Q1" s="213" t="str">
        <f>IF('Balanced Score Card'!T1=0,"",'Balanced Score Card'!T1)</f>
        <v/>
      </c>
    </row>
    <row r="2" spans="1:17" s="218" customFormat="1" ht="15.75" thickBot="1" x14ac:dyDescent="0.3">
      <c r="A2" s="216" t="s">
        <v>653</v>
      </c>
      <c r="B2" s="217">
        <f>'Management Overview'!E122</f>
        <v>6.9660503428498971E-2</v>
      </c>
      <c r="C2" s="217">
        <f>IF(C1="","",'Management Overview'!F122)</f>
        <v>9.6500183770980519E-2</v>
      </c>
      <c r="D2" s="217">
        <f>IF(D1="","",'Management Overview'!G122)</f>
        <v>8.9482849050666113E-2</v>
      </c>
      <c r="E2" s="217">
        <f>IF(E1="","",'Management Overview'!H122)</f>
        <v>8.0135966377198845E-2</v>
      </c>
      <c r="F2" s="217">
        <f>IF(F1="","",'Management Overview'!I122)</f>
        <v>6.9015564786547218E-2</v>
      </c>
      <c r="G2" s="217">
        <f>IF(G1="","",'Management Overview'!J122)</f>
        <v>5.9488088500678063E-2</v>
      </c>
      <c r="H2" s="217">
        <f>IF(H1="","",'Management Overview'!K122)</f>
        <v>5.0645095532458627E-2</v>
      </c>
      <c r="I2" s="217">
        <f>IF(I1="","",'Management Overview'!L122)</f>
        <v>5.152836688330012E-2</v>
      </c>
      <c r="J2" s="217">
        <f>IF(J1="","",'Management Overview'!M122)</f>
        <v>5.8023601254332396E-2</v>
      </c>
      <c r="K2" s="217" t="str">
        <f>IF(K1="","",'Management Overview'!N122)</f>
        <v/>
      </c>
      <c r="L2" s="217" t="str">
        <f>IF(L1="","",'Management Overview'!O122)</f>
        <v/>
      </c>
      <c r="M2" s="217" t="str">
        <f>IF(M1="","",'Management Overview'!P122)</f>
        <v/>
      </c>
      <c r="N2" s="217" t="str">
        <f>IF(N1="","",'Management Overview'!Q122)</f>
        <v/>
      </c>
      <c r="O2" s="217" t="str">
        <f>IF(O1="","",'Management Overview'!R122)</f>
        <v/>
      </c>
      <c r="P2" s="217" t="str">
        <f>IF(P1="","",'Management Overview'!S122)</f>
        <v/>
      </c>
      <c r="Q2" s="217" t="str">
        <f>IF(Q1="","",'Management Overview'!T122)</f>
        <v/>
      </c>
    </row>
    <row r="3" spans="1:17" s="221" customFormat="1" x14ac:dyDescent="0.25">
      <c r="A3" s="219" t="s">
        <v>189</v>
      </c>
      <c r="B3" s="220">
        <f>'Resource Management'!H3</f>
        <v>0</v>
      </c>
      <c r="C3" s="220">
        <f>IF(C1="","",VLOOKUP($A3,'Resource Management'!$C:$XX,(COLUMN(C3)-2)*2+10,FALSE))</f>
        <v>11.84</v>
      </c>
      <c r="D3" s="220">
        <f>IF(D1="","",VLOOKUP($A3,'Resource Management'!$C:$XX,(COLUMN(D3)-2)*2+10,FALSE))</f>
        <v>11.73</v>
      </c>
      <c r="E3" s="220">
        <f>IF(E1="","",VLOOKUP($A3,'Resource Management'!$C:$XX,(COLUMN(E3)-2)*2+10,FALSE))</f>
        <v>30.55</v>
      </c>
      <c r="F3" s="220">
        <f>IF(F1="","",VLOOKUP($A3,'Resource Management'!$C:$XX,(COLUMN(F3)-2)*2+10,FALSE))</f>
        <v>70.180000000000007</v>
      </c>
      <c r="G3" s="220">
        <f>IF(G1="","",VLOOKUP($A3,'Resource Management'!$C:$XX,(COLUMN(G3)-2)*2+10,FALSE))</f>
        <v>95.67</v>
      </c>
      <c r="H3" s="220">
        <f>IF(H1="","",VLOOKUP($A3,'Resource Management'!$C:$XX,(COLUMN(H3)-2)*2+10,FALSE))</f>
        <v>95.12</v>
      </c>
      <c r="I3" s="220">
        <f>IF(I1="","",VLOOKUP($A3,'Resource Management'!$C:$XX,(COLUMN(I3)-2)*2+10,FALSE))</f>
        <v>49.74</v>
      </c>
      <c r="J3" s="220">
        <f>IF(J1="","",VLOOKUP($A3,'Resource Management'!$C:$XX,(COLUMN(J3)-2)*2+10,FALSE))</f>
        <v>19.850000000000001</v>
      </c>
      <c r="K3" s="220">
        <f>IF(K1="","",VLOOKUP($A3,'Resource Management'!$C:$XX,(COLUMN(K3)-2)*2+10,FALSE))</f>
        <v>0</v>
      </c>
      <c r="L3" s="220" t="str">
        <f>IF(L1="","",VLOOKUP($A3,'Resource Management'!$C:$XX,(COLUMN(L3)-2)*2+10,FALSE))</f>
        <v/>
      </c>
      <c r="M3" s="220" t="str">
        <f>IF(M1="","",VLOOKUP($A3,'Resource Management'!$C:$XX,(COLUMN(M3)-2)*2+10,FALSE))</f>
        <v/>
      </c>
      <c r="N3" s="220" t="str">
        <f>IF(N1="","",VLOOKUP($A3,'Resource Management'!$C:$XX,(COLUMN(N3)-2)*2+10,FALSE))</f>
        <v/>
      </c>
      <c r="O3" s="220" t="str">
        <f>IF(O1="","",VLOOKUP($A3,'Resource Management'!$C:$XX,(COLUMN(O3)-2)*2+10,FALSE))</f>
        <v/>
      </c>
      <c r="P3" s="220" t="str">
        <f>IF(P1="","",VLOOKUP($A3,'Resource Management'!$C:$XX,(COLUMN(P3)-2)*2+10,FALSE))</f>
        <v/>
      </c>
      <c r="Q3" s="220" t="str">
        <f>IF(Q1="","",VLOOKUP($A3,'Resource Management'!$C:$XX,(COLUMN(Q3)-2)*2+10,FALSE))</f>
        <v/>
      </c>
    </row>
    <row r="4" spans="1:17" s="223" customFormat="1" x14ac:dyDescent="0.25">
      <c r="A4" s="222" t="s">
        <v>191</v>
      </c>
      <c r="B4" s="215">
        <f>'Resource Management'!H4</f>
        <v>9.7799999999999994</v>
      </c>
      <c r="C4" s="215">
        <f>IF(C2="","",VLOOKUP($A4,'Resource Management'!$C:$XX,(COLUMN(C4)-2)*2+10,FALSE))</f>
        <v>13.83</v>
      </c>
      <c r="D4" s="215">
        <f>IF(D2="","",VLOOKUP($A4,'Resource Management'!$C:$XX,(COLUMN(D4)-2)*2+10,FALSE))</f>
        <v>13.72</v>
      </c>
      <c r="E4" s="215">
        <f>IF(E2="","",VLOOKUP($A4,'Resource Management'!$C:$XX,(COLUMN(E4)-2)*2+10,FALSE))</f>
        <v>13.6</v>
      </c>
      <c r="F4" s="215">
        <f>IF(F2="","",VLOOKUP($A4,'Resource Management'!$C:$XX,(COLUMN(F4)-2)*2+10,FALSE))</f>
        <v>13.46</v>
      </c>
      <c r="G4" s="215">
        <f>IF(G2="","",VLOOKUP($A4,'Resource Management'!$C:$XX,(COLUMN(G4)-2)*2+10,FALSE))</f>
        <v>13.31</v>
      </c>
      <c r="H4" s="215">
        <f>IF(H2="","",VLOOKUP($A4,'Resource Management'!$C:$XX,(COLUMN(H4)-2)*2+10,FALSE))</f>
        <v>13.15</v>
      </c>
      <c r="I4" s="215">
        <f>IF(I2="","",VLOOKUP($A4,'Resource Management'!$C:$XX,(COLUMN(I4)-2)*2+10,FALSE))</f>
        <v>10.02</v>
      </c>
      <c r="J4" s="215">
        <f>IF(J2="","",VLOOKUP($A4,'Resource Management'!$C:$XX,(COLUMN(J4)-2)*2+10,FALSE))</f>
        <v>9.9</v>
      </c>
      <c r="K4" s="215" t="str">
        <f>IF(K2="","",VLOOKUP($A4,'Resource Management'!$C:$XX,(COLUMN(K4)-2)*2+10,FALSE))</f>
        <v/>
      </c>
      <c r="L4" s="215" t="str">
        <f>IF(L2="","",VLOOKUP($A4,'Resource Management'!$C:$XX,(COLUMN(L4)-2)*2+10,FALSE))</f>
        <v/>
      </c>
      <c r="M4" s="215" t="str">
        <f>IF(M2="","",VLOOKUP($A4,'Resource Management'!$C:$XX,(COLUMN(M4)-2)*2+10,FALSE))</f>
        <v/>
      </c>
      <c r="N4" s="215" t="str">
        <f>IF(N2="","",VLOOKUP($A4,'Resource Management'!$C:$XX,(COLUMN(N4)-2)*2+10,FALSE))</f>
        <v/>
      </c>
      <c r="O4" s="215" t="str">
        <f>IF(O2="","",VLOOKUP($A4,'Resource Management'!$C:$XX,(COLUMN(O4)-2)*2+10,FALSE))</f>
        <v/>
      </c>
      <c r="P4" s="215" t="str">
        <f>IF(P2="","",VLOOKUP($A4,'Resource Management'!$C:$XX,(COLUMN(P4)-2)*2+10,FALSE))</f>
        <v/>
      </c>
      <c r="Q4" s="215" t="str">
        <f>IF(Q2="","",VLOOKUP($A4,'Resource Management'!$C:$XX,(COLUMN(Q4)-2)*2+10,FALSE))</f>
        <v/>
      </c>
    </row>
    <row r="5" spans="1:17" s="223" customFormat="1" x14ac:dyDescent="0.25">
      <c r="A5" s="222" t="s">
        <v>192</v>
      </c>
      <c r="B5" s="215">
        <f>'Resource Management'!H5</f>
        <v>0.57999999999999996</v>
      </c>
      <c r="C5" s="215">
        <f>IF(C3="","",VLOOKUP($A5,'Resource Management'!$C:$XX,(COLUMN(C5)-2)*2+10,FALSE))</f>
        <v>13.82</v>
      </c>
      <c r="D5" s="215">
        <f>IF(D3="","",VLOOKUP($A5,'Resource Management'!$C:$XX,(COLUMN(D5)-2)*2+10,FALSE))</f>
        <v>13.66</v>
      </c>
      <c r="E5" s="215">
        <f>IF(E3="","",VLOOKUP($A5,'Resource Management'!$C:$XX,(COLUMN(E5)-2)*2+10,FALSE))</f>
        <v>13.43</v>
      </c>
      <c r="F5" s="215">
        <f>IF(F3="","",VLOOKUP($A5,'Resource Management'!$C:$XX,(COLUMN(F5)-2)*2+10,FALSE))</f>
        <v>8.2100000000000009</v>
      </c>
      <c r="G5" s="215">
        <f>IF(G3="","",VLOOKUP($A5,'Resource Management'!$C:$XX,(COLUMN(G5)-2)*2+10,FALSE))</f>
        <v>5.0199999999999996</v>
      </c>
      <c r="H5" s="215">
        <f>IF(H3="","",VLOOKUP($A5,'Resource Management'!$C:$XX,(COLUMN(H5)-2)*2+10,FALSE))</f>
        <v>2.88</v>
      </c>
      <c r="I5" s="215">
        <f>IF(I3="","",VLOOKUP($A5,'Resource Management'!$C:$XX,(COLUMN(I5)-2)*2+10,FALSE))</f>
        <v>1.76</v>
      </c>
      <c r="J5" s="215">
        <f>IF(J3="","",VLOOKUP($A5,'Resource Management'!$C:$XX,(COLUMN(J5)-2)*2+10,FALSE))</f>
        <v>1.65</v>
      </c>
      <c r="K5" s="215">
        <f>IF(K3="","",VLOOKUP($A5,'Resource Management'!$C:$XX,(COLUMN(K5)-2)*2+10,FALSE))</f>
        <v>0</v>
      </c>
      <c r="L5" s="215" t="str">
        <f>IF(L3="","",VLOOKUP($A5,'Resource Management'!$C:$XX,(COLUMN(L5)-2)*2+10,FALSE))</f>
        <v/>
      </c>
      <c r="M5" s="215" t="str">
        <f>IF(M3="","",VLOOKUP($A5,'Resource Management'!$C:$XX,(COLUMN(M5)-2)*2+10,FALSE))</f>
        <v/>
      </c>
      <c r="N5" s="215" t="str">
        <f>IF(N3="","",VLOOKUP($A5,'Resource Management'!$C:$XX,(COLUMN(N5)-2)*2+10,FALSE))</f>
        <v/>
      </c>
      <c r="O5" s="215" t="str">
        <f>IF(O3="","",VLOOKUP($A5,'Resource Management'!$C:$XX,(COLUMN(O5)-2)*2+10,FALSE))</f>
        <v/>
      </c>
      <c r="P5" s="215" t="str">
        <f>IF(P3="","",VLOOKUP($A5,'Resource Management'!$C:$XX,(COLUMN(P5)-2)*2+10,FALSE))</f>
        <v/>
      </c>
      <c r="Q5" s="215" t="str">
        <f>IF(Q3="","",VLOOKUP($A5,'Resource Management'!$C:$XX,(COLUMN(Q5)-2)*2+10,FALSE))</f>
        <v/>
      </c>
    </row>
    <row r="6" spans="1:17" s="223" customFormat="1" x14ac:dyDescent="0.25">
      <c r="A6" s="222" t="s">
        <v>193</v>
      </c>
      <c r="B6" s="215">
        <f>'Resource Management'!H6</f>
        <v>20.41</v>
      </c>
      <c r="C6" s="215">
        <f>IF(C4="","",VLOOKUP($A6,'Resource Management'!$C:$XX,(COLUMN(C6)-2)*2+10,FALSE))</f>
        <v>37.53</v>
      </c>
      <c r="D6" s="215">
        <f>IF(D4="","",VLOOKUP($A6,'Resource Management'!$C:$XX,(COLUMN(D6)-2)*2+10,FALSE))</f>
        <v>37.24</v>
      </c>
      <c r="E6" s="215">
        <f>IF(E4="","",VLOOKUP($A6,'Resource Management'!$C:$XX,(COLUMN(E6)-2)*2+10,FALSE))</f>
        <v>36.950000000000003</v>
      </c>
      <c r="F6" s="215">
        <f>IF(F4="","",VLOOKUP($A6,'Resource Management'!$C:$XX,(COLUMN(F6)-2)*2+10,FALSE))</f>
        <v>36.65</v>
      </c>
      <c r="G6" s="215">
        <f>IF(G4="","",VLOOKUP($A6,'Resource Management'!$C:$XX,(COLUMN(G6)-2)*2+10,FALSE))</f>
        <v>36.35</v>
      </c>
      <c r="H6" s="215">
        <f>IF(H4="","",VLOOKUP($A6,'Resource Management'!$C:$XX,(COLUMN(H6)-2)*2+10,FALSE))</f>
        <v>36.07</v>
      </c>
      <c r="I6" s="215">
        <f>IF(I4="","",VLOOKUP($A6,'Resource Management'!$C:$XX,(COLUMN(I6)-2)*2+10,FALSE))</f>
        <v>30.83</v>
      </c>
      <c r="J6" s="215">
        <f>IF(J4="","",VLOOKUP($A6,'Resource Management'!$C:$XX,(COLUMN(J6)-2)*2+10,FALSE))</f>
        <v>30.59</v>
      </c>
      <c r="K6" s="215" t="str">
        <f>IF(K4="","",VLOOKUP($A6,'Resource Management'!$C:$XX,(COLUMN(K6)-2)*2+10,FALSE))</f>
        <v/>
      </c>
      <c r="L6" s="215" t="str">
        <f>IF(L4="","",VLOOKUP($A6,'Resource Management'!$C:$XX,(COLUMN(L6)-2)*2+10,FALSE))</f>
        <v/>
      </c>
      <c r="M6" s="215" t="str">
        <f>IF(M4="","",VLOOKUP($A6,'Resource Management'!$C:$XX,(COLUMN(M6)-2)*2+10,FALSE))</f>
        <v/>
      </c>
      <c r="N6" s="215" t="str">
        <f>IF(N4="","",VLOOKUP($A6,'Resource Management'!$C:$XX,(COLUMN(N6)-2)*2+10,FALSE))</f>
        <v/>
      </c>
      <c r="O6" s="215" t="str">
        <f>IF(O4="","",VLOOKUP($A6,'Resource Management'!$C:$XX,(COLUMN(O6)-2)*2+10,FALSE))</f>
        <v/>
      </c>
      <c r="P6" s="215" t="str">
        <f>IF(P4="","",VLOOKUP($A6,'Resource Management'!$C:$XX,(COLUMN(P6)-2)*2+10,FALSE))</f>
        <v/>
      </c>
      <c r="Q6" s="215" t="str">
        <f>IF(Q4="","",VLOOKUP($A6,'Resource Management'!$C:$XX,(COLUMN(Q6)-2)*2+10,FALSE))</f>
        <v/>
      </c>
    </row>
    <row r="7" spans="1:17" s="223" customFormat="1" x14ac:dyDescent="0.25">
      <c r="A7" s="222" t="s">
        <v>194</v>
      </c>
      <c r="B7" s="215">
        <f>'Resource Management'!H7</f>
        <v>39.61</v>
      </c>
      <c r="C7" s="215">
        <f>IF(C5="","",VLOOKUP($A7,'Resource Management'!$C:$XX,(COLUMN(C7)-2)*2+10,FALSE))</f>
        <v>21.73</v>
      </c>
      <c r="D7" s="215">
        <f>IF(D5="","",VLOOKUP($A7,'Resource Management'!$C:$XX,(COLUMN(D7)-2)*2+10,FALSE))</f>
        <v>21.58</v>
      </c>
      <c r="E7" s="215">
        <f>IF(E5="","",VLOOKUP($A7,'Resource Management'!$C:$XX,(COLUMN(E7)-2)*2+10,FALSE))</f>
        <v>21.41</v>
      </c>
      <c r="F7" s="215">
        <f>IF(F5="","",VLOOKUP($A7,'Resource Management'!$C:$XX,(COLUMN(F7)-2)*2+10,FALSE))</f>
        <v>21.19</v>
      </c>
      <c r="G7" s="215">
        <f>IF(G5="","",VLOOKUP($A7,'Resource Management'!$C:$XX,(COLUMN(G7)-2)*2+10,FALSE))</f>
        <v>35.880000000000003</v>
      </c>
      <c r="H7" s="215">
        <f>IF(H5="","",VLOOKUP($A7,'Resource Management'!$C:$XX,(COLUMN(H7)-2)*2+10,FALSE))</f>
        <v>45.53</v>
      </c>
      <c r="I7" s="215">
        <f>IF(I5="","",VLOOKUP($A7,'Resource Management'!$C:$XX,(COLUMN(I7)-2)*2+10,FALSE))</f>
        <v>40.21</v>
      </c>
      <c r="J7" s="215">
        <f>IF(J5="","",VLOOKUP($A7,'Resource Management'!$C:$XX,(COLUMN(J7)-2)*2+10,FALSE))</f>
        <v>39.9</v>
      </c>
      <c r="K7" s="215">
        <f>IF(K5="","",VLOOKUP($A7,'Resource Management'!$C:$XX,(COLUMN(K7)-2)*2+10,FALSE))</f>
        <v>0</v>
      </c>
      <c r="L7" s="215" t="str">
        <f>IF(L5="","",VLOOKUP($A7,'Resource Management'!$C:$XX,(COLUMN(L7)-2)*2+10,FALSE))</f>
        <v/>
      </c>
      <c r="M7" s="215" t="str">
        <f>IF(M5="","",VLOOKUP($A7,'Resource Management'!$C:$XX,(COLUMN(M7)-2)*2+10,FALSE))</f>
        <v/>
      </c>
      <c r="N7" s="215" t="str">
        <f>IF(N5="","",VLOOKUP($A7,'Resource Management'!$C:$XX,(COLUMN(N7)-2)*2+10,FALSE))</f>
        <v/>
      </c>
      <c r="O7" s="215" t="str">
        <f>IF(O5="","",VLOOKUP($A7,'Resource Management'!$C:$XX,(COLUMN(O7)-2)*2+10,FALSE))</f>
        <v/>
      </c>
      <c r="P7" s="215" t="str">
        <f>IF(P5="","",VLOOKUP($A7,'Resource Management'!$C:$XX,(COLUMN(P7)-2)*2+10,FALSE))</f>
        <v/>
      </c>
      <c r="Q7" s="215" t="str">
        <f>IF(Q5="","",VLOOKUP($A7,'Resource Management'!$C:$XX,(COLUMN(Q7)-2)*2+10,FALSE))</f>
        <v/>
      </c>
    </row>
    <row r="8" spans="1:17" s="223" customFormat="1" x14ac:dyDescent="0.25">
      <c r="A8" s="222" t="s">
        <v>242</v>
      </c>
      <c r="B8" s="27">
        <f>'Resource Management'!H46</f>
        <v>469.62</v>
      </c>
      <c r="C8" s="215">
        <f>IF(C6="","",VLOOKUP($A8,'Resource Management'!$C:$XX,(COLUMN(C8)-2)*2+10,FALSE))</f>
        <v>88.94</v>
      </c>
      <c r="D8" s="215">
        <f>IF(D6="","",VLOOKUP($A8,'Resource Management'!$C:$XX,(COLUMN(D8)-2)*2+10,FALSE))</f>
        <v>88.4</v>
      </c>
      <c r="E8" s="215">
        <f>IF(E6="","",VLOOKUP($A8,'Resource Management'!$C:$XX,(COLUMN(E8)-2)*2+10,FALSE))</f>
        <v>87.87</v>
      </c>
      <c r="F8" s="215">
        <f>IF(F6="","",VLOOKUP($A8,'Resource Management'!$C:$XX,(COLUMN(F8)-2)*2+10,FALSE))</f>
        <v>137.11000000000001</v>
      </c>
      <c r="G8" s="215">
        <f>IF(G6="","",VLOOKUP($A8,'Resource Management'!$C:$XX,(COLUMN(G8)-2)*2+10,FALSE))</f>
        <v>136.31</v>
      </c>
      <c r="H8" s="215">
        <f>IF(H6="","",VLOOKUP($A8,'Resource Management'!$C:$XX,(COLUMN(H8)-2)*2+10,FALSE))</f>
        <v>135.51</v>
      </c>
      <c r="I8" s="215">
        <f>IF(I6="","",VLOOKUP($A8,'Resource Management'!$C:$XX,(COLUMN(I8)-2)*2+10,FALSE))</f>
        <v>149.65</v>
      </c>
      <c r="J8" s="215">
        <f>IF(J6="","",VLOOKUP($A8,'Resource Management'!$C:$XX,(COLUMN(J8)-2)*2+10,FALSE))</f>
        <v>472.28</v>
      </c>
      <c r="K8" s="215" t="str">
        <f>IF(K6="","",VLOOKUP($A8,'Resource Management'!$C:$XX,(COLUMN(K8)-2)*2+10,FALSE))</f>
        <v/>
      </c>
      <c r="L8" s="215" t="str">
        <f>IF(L6="","",VLOOKUP($A8,'Resource Management'!$C:$XX,(COLUMN(L8)-2)*2+10,FALSE))</f>
        <v/>
      </c>
      <c r="M8" s="215" t="str">
        <f>IF(M6="","",VLOOKUP($A8,'Resource Management'!$C:$XX,(COLUMN(M8)-2)*2+10,FALSE))</f>
        <v/>
      </c>
      <c r="N8" s="215" t="str">
        <f>IF(N6="","",VLOOKUP($A8,'Resource Management'!$C:$XX,(COLUMN(N8)-2)*2+10,FALSE))</f>
        <v/>
      </c>
      <c r="O8" s="215" t="str">
        <f>IF(O6="","",VLOOKUP($A8,'Resource Management'!$C:$XX,(COLUMN(O8)-2)*2+10,FALSE))</f>
        <v/>
      </c>
      <c r="P8" s="215" t="str">
        <f>IF(P6="","",VLOOKUP($A8,'Resource Management'!$C:$XX,(COLUMN(P8)-2)*2+10,FALSE))</f>
        <v/>
      </c>
      <c r="Q8" s="215" t="str">
        <f>IF(Q6="","",VLOOKUP($A8,'Resource Management'!$C:$XX,(COLUMN(Q8)-2)*2+10,FALSE))</f>
        <v/>
      </c>
    </row>
    <row r="9" spans="1:17" s="223" customFormat="1" x14ac:dyDescent="0.25">
      <c r="A9" s="222" t="s">
        <v>243</v>
      </c>
      <c r="B9" s="27">
        <f>'Resource Management'!H47</f>
        <v>414.6</v>
      </c>
      <c r="C9" s="215">
        <f>IF(C7="","",VLOOKUP($A9,'Resource Management'!$C:$XX,(COLUMN(C9)-2)*2+10,FALSE))</f>
        <v>67.099999999999994</v>
      </c>
      <c r="D9" s="215">
        <f>IF(D7="","",VLOOKUP($A9,'Resource Management'!$C:$XX,(COLUMN(D9)-2)*2+10,FALSE))</f>
        <v>60.66</v>
      </c>
      <c r="E9" s="215">
        <f>IF(E7="","",VLOOKUP($A9,'Resource Management'!$C:$XX,(COLUMN(E9)-2)*2+10,FALSE))</f>
        <v>54.84</v>
      </c>
      <c r="F9" s="215">
        <f>IF(F7="","",VLOOKUP($A9,'Resource Management'!$C:$XX,(COLUMN(F9)-2)*2+10,FALSE))</f>
        <v>92.98</v>
      </c>
      <c r="G9" s="215">
        <f>IF(G7="","",VLOOKUP($A9,'Resource Management'!$C:$XX,(COLUMN(G9)-2)*2+10,FALSE))</f>
        <v>91.84</v>
      </c>
      <c r="H9" s="215">
        <f>IF(H7="","",VLOOKUP($A9,'Resource Management'!$C:$XX,(COLUMN(H9)-2)*2+10,FALSE))</f>
        <v>90.73</v>
      </c>
      <c r="I9" s="215">
        <f>IF(I7="","",VLOOKUP($A9,'Resource Management'!$C:$XX,(COLUMN(I9)-2)*2+10,FALSE))</f>
        <v>119.6</v>
      </c>
      <c r="J9" s="215">
        <f>IF(J7="","",VLOOKUP($A9,'Resource Management'!$C:$XX,(COLUMN(J9)-2)*2+10,FALSE))</f>
        <v>417.21</v>
      </c>
      <c r="K9" s="215">
        <f>IF(K7="","",VLOOKUP($A9,'Resource Management'!$C:$XX,(COLUMN(K9)-2)*2+10,FALSE))</f>
        <v>0</v>
      </c>
      <c r="L9" s="215" t="str">
        <f>IF(L7="","",VLOOKUP($A9,'Resource Management'!$C:$XX,(COLUMN(L9)-2)*2+10,FALSE))</f>
        <v/>
      </c>
      <c r="M9" s="215" t="str">
        <f>IF(M7="","",VLOOKUP($A9,'Resource Management'!$C:$XX,(COLUMN(M9)-2)*2+10,FALSE))</f>
        <v/>
      </c>
      <c r="N9" s="215" t="str">
        <f>IF(N7="","",VLOOKUP($A9,'Resource Management'!$C:$XX,(COLUMN(N9)-2)*2+10,FALSE))</f>
        <v/>
      </c>
      <c r="O9" s="215" t="str">
        <f>IF(O7="","",VLOOKUP($A9,'Resource Management'!$C:$XX,(COLUMN(O9)-2)*2+10,FALSE))</f>
        <v/>
      </c>
      <c r="P9" s="215" t="str">
        <f>IF(P7="","",VLOOKUP($A9,'Resource Management'!$C:$XX,(COLUMN(P9)-2)*2+10,FALSE))</f>
        <v/>
      </c>
      <c r="Q9" s="215" t="str">
        <f>IF(Q7="","",VLOOKUP($A9,'Resource Management'!$C:$XX,(COLUMN(Q9)-2)*2+10,FALSE))</f>
        <v/>
      </c>
    </row>
    <row r="10" spans="1:17" s="223" customFormat="1" x14ac:dyDescent="0.25">
      <c r="A10" s="222" t="s">
        <v>244</v>
      </c>
      <c r="B10" s="27">
        <f>'Resource Management'!H48</f>
        <v>18.87</v>
      </c>
      <c r="C10" s="215">
        <f>IF(C8="","",VLOOKUP($A10,'Resource Management'!$C:$XX,(COLUMN(C10)-2)*2+10,FALSE))</f>
        <v>9.44</v>
      </c>
      <c r="D10" s="215">
        <f>IF(D8="","",VLOOKUP($A10,'Resource Management'!$C:$XX,(COLUMN(D10)-2)*2+10,FALSE))</f>
        <v>9.3800000000000008</v>
      </c>
      <c r="E10" s="215">
        <f>IF(E8="","",VLOOKUP($A10,'Resource Management'!$C:$XX,(COLUMN(E10)-2)*2+10,FALSE))</f>
        <v>9.32</v>
      </c>
      <c r="F10" s="215">
        <f>IF(F8="","",VLOOKUP($A10,'Resource Management'!$C:$XX,(COLUMN(F10)-2)*2+10,FALSE))</f>
        <v>9.26</v>
      </c>
      <c r="G10" s="215">
        <f>IF(G8="","",VLOOKUP($A10,'Resource Management'!$C:$XX,(COLUMN(G10)-2)*2+10,FALSE))</f>
        <v>9.1999999999999993</v>
      </c>
      <c r="H10" s="215">
        <f>IF(H8="","",VLOOKUP($A10,'Resource Management'!$C:$XX,(COLUMN(H10)-2)*2+10,FALSE))</f>
        <v>9.14</v>
      </c>
      <c r="I10" s="215">
        <f>IF(I8="","",VLOOKUP($A10,'Resource Management'!$C:$XX,(COLUMN(I10)-2)*2+10,FALSE))</f>
        <v>9.08</v>
      </c>
      <c r="J10" s="215">
        <f>IF(J8="","",VLOOKUP($A10,'Resource Management'!$C:$XX,(COLUMN(J10)-2)*2+10,FALSE))</f>
        <v>18.98</v>
      </c>
      <c r="K10" s="215" t="str">
        <f>IF(K8="","",VLOOKUP($A10,'Resource Management'!$C:$XX,(COLUMN(K10)-2)*2+10,FALSE))</f>
        <v/>
      </c>
      <c r="L10" s="215" t="str">
        <f>IF(L8="","",VLOOKUP($A10,'Resource Management'!$C:$XX,(COLUMN(L10)-2)*2+10,FALSE))</f>
        <v/>
      </c>
      <c r="M10" s="215" t="str">
        <f>IF(M8="","",VLOOKUP($A10,'Resource Management'!$C:$XX,(COLUMN(M10)-2)*2+10,FALSE))</f>
        <v/>
      </c>
      <c r="N10" s="215" t="str">
        <f>IF(N8="","",VLOOKUP($A10,'Resource Management'!$C:$XX,(COLUMN(N10)-2)*2+10,FALSE))</f>
        <v/>
      </c>
      <c r="O10" s="215" t="str">
        <f>IF(O8="","",VLOOKUP($A10,'Resource Management'!$C:$XX,(COLUMN(O10)-2)*2+10,FALSE))</f>
        <v/>
      </c>
      <c r="P10" s="215" t="str">
        <f>IF(P8="","",VLOOKUP($A10,'Resource Management'!$C:$XX,(COLUMN(P10)-2)*2+10,FALSE))</f>
        <v/>
      </c>
      <c r="Q10" s="215" t="str">
        <f>IF(Q8="","",VLOOKUP($A10,'Resource Management'!$C:$XX,(COLUMN(Q10)-2)*2+10,FALSE))</f>
        <v/>
      </c>
    </row>
    <row r="11" spans="1:17" s="223" customFormat="1" x14ac:dyDescent="0.25">
      <c r="A11" s="222" t="s">
        <v>245</v>
      </c>
      <c r="B11" s="27">
        <f>'Resource Management'!H49</f>
        <v>43.32</v>
      </c>
      <c r="C11" s="215">
        <f>IF(C9="","",VLOOKUP($A11,'Resource Management'!$C:$XX,(COLUMN(C11)-2)*2+10,FALSE))</f>
        <v>34.520000000000003</v>
      </c>
      <c r="D11" s="215">
        <f>IF(D9="","",VLOOKUP($A11,'Resource Management'!$C:$XX,(COLUMN(D11)-2)*2+10,FALSE))</f>
        <v>34.29</v>
      </c>
      <c r="E11" s="215">
        <f>IF(E9="","",VLOOKUP($A11,'Resource Management'!$C:$XX,(COLUMN(E11)-2)*2+10,FALSE))</f>
        <v>34</v>
      </c>
      <c r="F11" s="215">
        <f>IF(F9="","",VLOOKUP($A11,'Resource Management'!$C:$XX,(COLUMN(F11)-2)*2+10,FALSE))</f>
        <v>33.68</v>
      </c>
      <c r="G11" s="215">
        <f>IF(G9="","",VLOOKUP($A11,'Resource Management'!$C:$XX,(COLUMN(G11)-2)*2+10,FALSE))</f>
        <v>93.01</v>
      </c>
      <c r="H11" s="215">
        <f>IF(H9="","",VLOOKUP($A11,'Resource Management'!$C:$XX,(COLUMN(H11)-2)*2+10,FALSE))</f>
        <v>92.14</v>
      </c>
      <c r="I11" s="215">
        <f>IF(I9="","",VLOOKUP($A11,'Resource Management'!$C:$XX,(COLUMN(I11)-2)*2+10,FALSE))</f>
        <v>91.22</v>
      </c>
      <c r="J11" s="215">
        <f>IF(J9="","",VLOOKUP($A11,'Resource Management'!$C:$XX,(COLUMN(J11)-2)*2+10,FALSE))</f>
        <v>89.79</v>
      </c>
      <c r="K11" s="215">
        <f>IF(K9="","",VLOOKUP($A11,'Resource Management'!$C:$XX,(COLUMN(K11)-2)*2+10,FALSE))</f>
        <v>0</v>
      </c>
      <c r="L11" s="215" t="str">
        <f>IF(L9="","",VLOOKUP($A11,'Resource Management'!$C:$XX,(COLUMN(L11)-2)*2+10,FALSE))</f>
        <v/>
      </c>
      <c r="M11" s="215" t="str">
        <f>IF(M9="","",VLOOKUP($A11,'Resource Management'!$C:$XX,(COLUMN(M11)-2)*2+10,FALSE))</f>
        <v/>
      </c>
      <c r="N11" s="215" t="str">
        <f>IF(N9="","",VLOOKUP($A11,'Resource Management'!$C:$XX,(COLUMN(N11)-2)*2+10,FALSE))</f>
        <v/>
      </c>
      <c r="O11" s="215" t="str">
        <f>IF(O9="","",VLOOKUP($A11,'Resource Management'!$C:$XX,(COLUMN(O11)-2)*2+10,FALSE))</f>
        <v/>
      </c>
      <c r="P11" s="215" t="str">
        <f>IF(P9="","",VLOOKUP($A11,'Resource Management'!$C:$XX,(COLUMN(P11)-2)*2+10,FALSE))</f>
        <v/>
      </c>
      <c r="Q11" s="215" t="str">
        <f>IF(Q9="","",VLOOKUP($A11,'Resource Management'!$C:$XX,(COLUMN(Q11)-2)*2+10,FALSE))</f>
        <v/>
      </c>
    </row>
    <row r="12" spans="1:17" s="223" customFormat="1" x14ac:dyDescent="0.25">
      <c r="A12" s="222" t="s">
        <v>246</v>
      </c>
      <c r="B12" s="27">
        <f>'Resource Management'!H50</f>
        <v>241.13</v>
      </c>
      <c r="C12" s="215">
        <f>IF(C10="","",VLOOKUP($A12,'Resource Management'!$C:$XX,(COLUMN(C12)-2)*2+10,FALSE))</f>
        <v>174.46</v>
      </c>
      <c r="D12" s="215">
        <f>IF(D10="","",VLOOKUP($A12,'Resource Management'!$C:$XX,(COLUMN(D12)-2)*2+10,FALSE))</f>
        <v>174.33</v>
      </c>
      <c r="E12" s="215">
        <f>IF(E10="","",VLOOKUP($A12,'Resource Management'!$C:$XX,(COLUMN(E12)-2)*2+10,FALSE))</f>
        <v>240.8</v>
      </c>
      <c r="F12" s="215">
        <f>IF(F10="","",VLOOKUP($A12,'Resource Management'!$C:$XX,(COLUMN(F12)-2)*2+10,FALSE))</f>
        <v>438.15</v>
      </c>
      <c r="G12" s="215">
        <f>IF(G10="","",VLOOKUP($A12,'Resource Management'!$C:$XX,(COLUMN(G12)-2)*2+10,FALSE))</f>
        <v>434.79</v>
      </c>
      <c r="H12" s="215">
        <f>IF(H10="","",VLOOKUP($A12,'Resource Management'!$C:$XX,(COLUMN(H12)-2)*2+10,FALSE))</f>
        <v>430.6</v>
      </c>
      <c r="I12" s="215">
        <f>IF(I10="","",VLOOKUP($A12,'Resource Management'!$C:$XX,(COLUMN(I12)-2)*2+10,FALSE))</f>
        <v>374.91</v>
      </c>
      <c r="J12" s="215">
        <f>IF(J10="","",VLOOKUP($A12,'Resource Management'!$C:$XX,(COLUMN(J12)-2)*2+10,FALSE))</f>
        <v>364.07</v>
      </c>
      <c r="K12" s="215" t="str">
        <f>IF(K10="","",VLOOKUP($A12,'Resource Management'!$C:$XX,(COLUMN(K12)-2)*2+10,FALSE))</f>
        <v/>
      </c>
      <c r="L12" s="215" t="str">
        <f>IF(L10="","",VLOOKUP($A12,'Resource Management'!$C:$XX,(COLUMN(L12)-2)*2+10,FALSE))</f>
        <v/>
      </c>
      <c r="M12" s="215" t="str">
        <f>IF(M10="","",VLOOKUP($A12,'Resource Management'!$C:$XX,(COLUMN(M12)-2)*2+10,FALSE))</f>
        <v/>
      </c>
      <c r="N12" s="215" t="str">
        <f>IF(N10="","",VLOOKUP($A12,'Resource Management'!$C:$XX,(COLUMN(N12)-2)*2+10,FALSE))</f>
        <v/>
      </c>
      <c r="O12" s="215" t="str">
        <f>IF(O10="","",VLOOKUP($A12,'Resource Management'!$C:$XX,(COLUMN(O12)-2)*2+10,FALSE))</f>
        <v/>
      </c>
      <c r="P12" s="215" t="str">
        <f>IF(P10="","",VLOOKUP($A12,'Resource Management'!$C:$XX,(COLUMN(P12)-2)*2+10,FALSE))</f>
        <v/>
      </c>
      <c r="Q12" s="215" t="str">
        <f>IF(Q10="","",VLOOKUP($A12,'Resource Management'!$C:$XX,(COLUMN(Q12)-2)*2+10,FALSE))</f>
        <v/>
      </c>
    </row>
    <row r="13" spans="1:17" s="223" customFormat="1" x14ac:dyDescent="0.25">
      <c r="A13" s="222" t="s">
        <v>247</v>
      </c>
      <c r="B13" s="27">
        <f>'Resource Management'!H51</f>
        <v>208.12</v>
      </c>
      <c r="C13" s="215">
        <f>IF(C11="","",VLOOKUP($A13,'Resource Management'!$C:$XX,(COLUMN(C13)-2)*2+10,FALSE))</f>
        <v>202.32</v>
      </c>
      <c r="D13" s="215">
        <f>IF(D11="","",VLOOKUP($A13,'Resource Management'!$C:$XX,(COLUMN(D13)-2)*2+10,FALSE))</f>
        <v>202.97</v>
      </c>
      <c r="E13" s="215">
        <f>IF(E11="","",VLOOKUP($A13,'Resource Management'!$C:$XX,(COLUMN(E13)-2)*2+10,FALSE))</f>
        <v>201.59</v>
      </c>
      <c r="F13" s="215">
        <f>IF(F11="","",VLOOKUP($A13,'Resource Management'!$C:$XX,(COLUMN(F13)-2)*2+10,FALSE))</f>
        <v>349.43</v>
      </c>
      <c r="G13" s="215">
        <f>IF(G11="","",VLOOKUP($A13,'Resource Management'!$C:$XX,(COLUMN(G13)-2)*2+10,FALSE))</f>
        <v>346.78</v>
      </c>
      <c r="H13" s="215">
        <f>IF(H11="","",VLOOKUP($A13,'Resource Management'!$C:$XX,(COLUMN(H13)-2)*2+10,FALSE))</f>
        <v>343.72</v>
      </c>
      <c r="I13" s="215">
        <f>IF(I11="","",VLOOKUP($A13,'Resource Management'!$C:$XX,(COLUMN(I13)-2)*2+10,FALSE))</f>
        <v>299.89</v>
      </c>
      <c r="J13" s="215">
        <f>IF(J11="","",VLOOKUP($A13,'Resource Management'!$C:$XX,(COLUMN(J13)-2)*2+10,FALSE))</f>
        <v>294.07</v>
      </c>
      <c r="K13" s="215">
        <f>IF(K11="","",VLOOKUP($A13,'Resource Management'!$C:$XX,(COLUMN(K13)-2)*2+10,FALSE))</f>
        <v>0</v>
      </c>
      <c r="L13" s="215" t="str">
        <f>IF(L11="","",VLOOKUP($A13,'Resource Management'!$C:$XX,(COLUMN(L13)-2)*2+10,FALSE))</f>
        <v/>
      </c>
      <c r="M13" s="215" t="str">
        <f>IF(M11="","",VLOOKUP($A13,'Resource Management'!$C:$XX,(COLUMN(M13)-2)*2+10,FALSE))</f>
        <v/>
      </c>
      <c r="N13" s="215" t="str">
        <f>IF(N11="","",VLOOKUP($A13,'Resource Management'!$C:$XX,(COLUMN(N13)-2)*2+10,FALSE))</f>
        <v/>
      </c>
      <c r="O13" s="215" t="str">
        <f>IF(O11="","",VLOOKUP($A13,'Resource Management'!$C:$XX,(COLUMN(O13)-2)*2+10,FALSE))</f>
        <v/>
      </c>
      <c r="P13" s="215" t="str">
        <f>IF(P11="","",VLOOKUP($A13,'Resource Management'!$C:$XX,(COLUMN(P13)-2)*2+10,FALSE))</f>
        <v/>
      </c>
      <c r="Q13" s="215" t="str">
        <f>IF(Q11="","",VLOOKUP($A13,'Resource Management'!$C:$XX,(COLUMN(Q13)-2)*2+10,FALSE))</f>
        <v/>
      </c>
    </row>
    <row r="14" spans="1:17" s="223" customFormat="1" x14ac:dyDescent="0.25">
      <c r="A14" s="222" t="s">
        <v>248</v>
      </c>
      <c r="B14" s="27">
        <f>'Resource Management'!H52</f>
        <v>468.29</v>
      </c>
      <c r="C14" s="215">
        <f>IF(C12="","",VLOOKUP($A14,'Resource Management'!$C:$XX,(COLUMN(C14)-2)*2+10,FALSE))</f>
        <v>212.23</v>
      </c>
      <c r="D14" s="215">
        <f>IF(D12="","",VLOOKUP($A14,'Resource Management'!$C:$XX,(COLUMN(D14)-2)*2+10,FALSE))</f>
        <v>211.93</v>
      </c>
      <c r="E14" s="215">
        <f>IF(E12="","",VLOOKUP($A14,'Resource Management'!$C:$XX,(COLUMN(E14)-2)*2+10,FALSE))</f>
        <v>225.5</v>
      </c>
      <c r="F14" s="215">
        <f>IF(F12="","",VLOOKUP($A14,'Resource Management'!$C:$XX,(COLUMN(F14)-2)*2+10,FALSE))</f>
        <v>323.49</v>
      </c>
      <c r="G14" s="215">
        <f>IF(G12="","",VLOOKUP($A14,'Resource Management'!$C:$XX,(COLUMN(G14)-2)*2+10,FALSE))</f>
        <v>450.76</v>
      </c>
      <c r="H14" s="215">
        <f>IF(H12="","",VLOOKUP($A14,'Resource Management'!$C:$XX,(COLUMN(H14)-2)*2+10,FALSE))</f>
        <v>447.9</v>
      </c>
      <c r="I14" s="215">
        <f>IF(I12="","",VLOOKUP($A14,'Resource Management'!$C:$XX,(COLUMN(I14)-2)*2+10,FALSE))</f>
        <v>454.84</v>
      </c>
      <c r="J14" s="215">
        <f>IF(J12="","",VLOOKUP($A14,'Resource Management'!$C:$XX,(COLUMN(J14)-2)*2+10,FALSE))</f>
        <v>471.63</v>
      </c>
      <c r="K14" s="215" t="str">
        <f>IF(K12="","",VLOOKUP($A14,'Resource Management'!$C:$XX,(COLUMN(K14)-2)*2+10,FALSE))</f>
        <v/>
      </c>
      <c r="L14" s="215" t="str">
        <f>IF(L12="","",VLOOKUP($A14,'Resource Management'!$C:$XX,(COLUMN(L14)-2)*2+10,FALSE))</f>
        <v/>
      </c>
      <c r="M14" s="215" t="str">
        <f>IF(M12="","",VLOOKUP($A14,'Resource Management'!$C:$XX,(COLUMN(M14)-2)*2+10,FALSE))</f>
        <v/>
      </c>
      <c r="N14" s="215" t="str">
        <f>IF(N12="","",VLOOKUP($A14,'Resource Management'!$C:$XX,(COLUMN(N14)-2)*2+10,FALSE))</f>
        <v/>
      </c>
      <c r="O14" s="215" t="str">
        <f>IF(O12="","",VLOOKUP($A14,'Resource Management'!$C:$XX,(COLUMN(O14)-2)*2+10,FALSE))</f>
        <v/>
      </c>
      <c r="P14" s="215" t="str">
        <f>IF(P12="","",VLOOKUP($A14,'Resource Management'!$C:$XX,(COLUMN(P14)-2)*2+10,FALSE))</f>
        <v/>
      </c>
      <c r="Q14" s="215" t="str">
        <f>IF(Q12="","",VLOOKUP($A14,'Resource Management'!$C:$XX,(COLUMN(Q14)-2)*2+10,FALSE))</f>
        <v/>
      </c>
    </row>
    <row r="15" spans="1:17" s="223" customFormat="1" x14ac:dyDescent="0.25">
      <c r="A15" s="222" t="s">
        <v>249</v>
      </c>
      <c r="B15" s="27">
        <f>'Resource Management'!H53</f>
        <v>1463.15</v>
      </c>
      <c r="C15" s="215">
        <f>IF(C13="","",VLOOKUP($A15,'Resource Management'!$C:$XX,(COLUMN(C15)-2)*2+10,FALSE))</f>
        <v>163.35</v>
      </c>
      <c r="D15" s="215">
        <f>IF(D13="","",VLOOKUP($A15,'Resource Management'!$C:$XX,(COLUMN(D15)-2)*2+10,FALSE))</f>
        <v>163.26</v>
      </c>
      <c r="E15" s="215">
        <f>IF(E13="","",VLOOKUP($A15,'Resource Management'!$C:$XX,(COLUMN(E15)-2)*2+10,FALSE))</f>
        <v>227.78</v>
      </c>
      <c r="F15" s="215">
        <f>IF(F13="","",VLOOKUP($A15,'Resource Management'!$C:$XX,(COLUMN(F15)-2)*2+10,FALSE))</f>
        <v>445.1</v>
      </c>
      <c r="G15" s="215">
        <f>IF(G13="","",VLOOKUP($A15,'Resource Management'!$C:$XX,(COLUMN(G15)-2)*2+10,FALSE))</f>
        <v>496.76</v>
      </c>
      <c r="H15" s="215">
        <f>IF(H13="","",VLOOKUP($A15,'Resource Management'!$C:$XX,(COLUMN(H15)-2)*2+10,FALSE))</f>
        <v>990.79</v>
      </c>
      <c r="I15" s="215">
        <f>IF(I13="","",VLOOKUP($A15,'Resource Management'!$C:$XX,(COLUMN(I15)-2)*2+10,FALSE))</f>
        <v>1183.1099999999999</v>
      </c>
      <c r="J15" s="215">
        <f>IF(J13="","",VLOOKUP($A15,'Resource Management'!$C:$XX,(COLUMN(J15)-2)*2+10,FALSE))</f>
        <v>1373.83</v>
      </c>
      <c r="K15" s="215">
        <f>IF(K13="","",VLOOKUP($A15,'Resource Management'!$C:$XX,(COLUMN(K15)-2)*2+10,FALSE))</f>
        <v>0</v>
      </c>
      <c r="L15" s="215" t="str">
        <f>IF(L13="","",VLOOKUP($A15,'Resource Management'!$C:$XX,(COLUMN(L15)-2)*2+10,FALSE))</f>
        <v/>
      </c>
      <c r="M15" s="215" t="str">
        <f>IF(M13="","",VLOOKUP($A15,'Resource Management'!$C:$XX,(COLUMN(M15)-2)*2+10,FALSE))</f>
        <v/>
      </c>
      <c r="N15" s="215" t="str">
        <f>IF(N13="","",VLOOKUP($A15,'Resource Management'!$C:$XX,(COLUMN(N15)-2)*2+10,FALSE))</f>
        <v/>
      </c>
      <c r="O15" s="215" t="str">
        <f>IF(O13="","",VLOOKUP($A15,'Resource Management'!$C:$XX,(COLUMN(O15)-2)*2+10,FALSE))</f>
        <v/>
      </c>
      <c r="P15" s="215" t="str">
        <f>IF(P13="","",VLOOKUP($A15,'Resource Management'!$C:$XX,(COLUMN(P15)-2)*2+10,FALSE))</f>
        <v/>
      </c>
      <c r="Q15" s="215" t="str">
        <f>IF(Q13="","",VLOOKUP($A15,'Resource Management'!$C:$XX,(COLUMN(Q15)-2)*2+10,FALSE))</f>
        <v/>
      </c>
    </row>
    <row r="16" spans="1:17" s="223" customFormat="1" x14ac:dyDescent="0.25">
      <c r="A16" s="222" t="s">
        <v>250</v>
      </c>
      <c r="B16" s="27">
        <f>'Resource Management'!H54</f>
        <v>1243.83</v>
      </c>
      <c r="C16" s="215">
        <f>IF(C14="","",VLOOKUP($A16,'Resource Management'!$C:$XX,(COLUMN(C16)-2)*2+10,FALSE))</f>
        <v>281.76</v>
      </c>
      <c r="D16" s="215">
        <f>IF(D14="","",VLOOKUP($A16,'Resource Management'!$C:$XX,(COLUMN(D16)-2)*2+10,FALSE))</f>
        <v>281.83</v>
      </c>
      <c r="E16" s="215">
        <f>IF(E14="","",VLOOKUP($A16,'Resource Management'!$C:$XX,(COLUMN(E16)-2)*2+10,FALSE))</f>
        <v>279.61</v>
      </c>
      <c r="F16" s="215">
        <f>IF(F14="","",VLOOKUP($A16,'Resource Management'!$C:$XX,(COLUMN(F16)-2)*2+10,FALSE))</f>
        <v>307.17</v>
      </c>
      <c r="G16" s="215">
        <f>IF(G14="","",VLOOKUP($A16,'Resource Management'!$C:$XX,(COLUMN(G16)-2)*2+10,FALSE))</f>
        <v>351.29</v>
      </c>
      <c r="H16" s="215">
        <f>IF(H14="","",VLOOKUP($A16,'Resource Management'!$C:$XX,(COLUMN(H16)-2)*2+10,FALSE))</f>
        <v>746.42</v>
      </c>
      <c r="I16" s="215">
        <f>IF(I14="","",VLOOKUP($A16,'Resource Management'!$C:$XX,(COLUMN(I16)-2)*2+10,FALSE))</f>
        <v>960.07</v>
      </c>
      <c r="J16" s="215">
        <f>IF(J14="","",VLOOKUP($A16,'Resource Management'!$C:$XX,(COLUMN(J16)-2)*2+10,FALSE))</f>
        <v>1152.56</v>
      </c>
      <c r="K16" s="215" t="str">
        <f>IF(K14="","",VLOOKUP($A16,'Resource Management'!$C:$XX,(COLUMN(K16)-2)*2+10,FALSE))</f>
        <v/>
      </c>
      <c r="L16" s="215" t="str">
        <f>IF(L14="","",VLOOKUP($A16,'Resource Management'!$C:$XX,(COLUMN(L16)-2)*2+10,FALSE))</f>
        <v/>
      </c>
      <c r="M16" s="215" t="str">
        <f>IF(M14="","",VLOOKUP($A16,'Resource Management'!$C:$XX,(COLUMN(M16)-2)*2+10,FALSE))</f>
        <v/>
      </c>
      <c r="N16" s="215" t="str">
        <f>IF(N14="","",VLOOKUP($A16,'Resource Management'!$C:$XX,(COLUMN(N16)-2)*2+10,FALSE))</f>
        <v/>
      </c>
      <c r="O16" s="215" t="str">
        <f>IF(O14="","",VLOOKUP($A16,'Resource Management'!$C:$XX,(COLUMN(O16)-2)*2+10,FALSE))</f>
        <v/>
      </c>
      <c r="P16" s="215" t="str">
        <f>IF(P14="","",VLOOKUP($A16,'Resource Management'!$C:$XX,(COLUMN(P16)-2)*2+10,FALSE))</f>
        <v/>
      </c>
      <c r="Q16" s="215" t="str">
        <f>IF(Q14="","",VLOOKUP($A16,'Resource Management'!$C:$XX,(COLUMN(Q16)-2)*2+10,FALSE))</f>
        <v/>
      </c>
    </row>
    <row r="17" spans="1:17" s="223" customFormat="1" x14ac:dyDescent="0.25">
      <c r="A17" s="222" t="s">
        <v>251</v>
      </c>
      <c r="B17" s="27">
        <f>'Resource Management'!H55</f>
        <v>271.66000000000003</v>
      </c>
      <c r="C17" s="215">
        <f>IF(C15="","",VLOOKUP($A17,'Resource Management'!$C:$XX,(COLUMN(C17)-2)*2+10,FALSE))</f>
        <v>184.62</v>
      </c>
      <c r="D17" s="215">
        <f>IF(D15="","",VLOOKUP($A17,'Resource Management'!$C:$XX,(COLUMN(D17)-2)*2+10,FALSE))</f>
        <v>184.38</v>
      </c>
      <c r="E17" s="215">
        <f>IF(E15="","",VLOOKUP($A17,'Resource Management'!$C:$XX,(COLUMN(E17)-2)*2+10,FALSE))</f>
        <v>182.94</v>
      </c>
      <c r="F17" s="215">
        <f>IF(F15="","",VLOOKUP($A17,'Resource Management'!$C:$XX,(COLUMN(F17)-2)*2+10,FALSE))</f>
        <v>181.27</v>
      </c>
      <c r="G17" s="215">
        <f>IF(G15="","",VLOOKUP($A17,'Resource Management'!$C:$XX,(COLUMN(G17)-2)*2+10,FALSE))</f>
        <v>149.72</v>
      </c>
      <c r="H17" s="215">
        <f>IF(H15="","",VLOOKUP($A17,'Resource Management'!$C:$XX,(COLUMN(H17)-2)*2+10,FALSE))</f>
        <v>247.9</v>
      </c>
      <c r="I17" s="215">
        <f>IF(I15="","",VLOOKUP($A17,'Resource Management'!$C:$XX,(COLUMN(I17)-2)*2+10,FALSE))</f>
        <v>255.99</v>
      </c>
      <c r="J17" s="215">
        <f>IF(J15="","",VLOOKUP($A17,'Resource Management'!$C:$XX,(COLUMN(J17)-2)*2+10,FALSE))</f>
        <v>273.93</v>
      </c>
      <c r="K17" s="215">
        <f>IF(K15="","",VLOOKUP($A17,'Resource Management'!$C:$XX,(COLUMN(K17)-2)*2+10,FALSE))</f>
        <v>0</v>
      </c>
      <c r="L17" s="215" t="str">
        <f>IF(L15="","",VLOOKUP($A17,'Resource Management'!$C:$XX,(COLUMN(L17)-2)*2+10,FALSE))</f>
        <v/>
      </c>
      <c r="M17" s="215" t="str">
        <f>IF(M15="","",VLOOKUP($A17,'Resource Management'!$C:$XX,(COLUMN(M17)-2)*2+10,FALSE))</f>
        <v/>
      </c>
      <c r="N17" s="215" t="str">
        <f>IF(N15="","",VLOOKUP($A17,'Resource Management'!$C:$XX,(COLUMN(N17)-2)*2+10,FALSE))</f>
        <v/>
      </c>
      <c r="O17" s="215" t="str">
        <f>IF(O15="","",VLOOKUP($A17,'Resource Management'!$C:$XX,(COLUMN(O17)-2)*2+10,FALSE))</f>
        <v/>
      </c>
      <c r="P17" s="215" t="str">
        <f>IF(P15="","",VLOOKUP($A17,'Resource Management'!$C:$XX,(COLUMN(P17)-2)*2+10,FALSE))</f>
        <v/>
      </c>
      <c r="Q17" s="215" t="str">
        <f>IF(Q15="","",VLOOKUP($A17,'Resource Management'!$C:$XX,(COLUMN(Q17)-2)*2+10,FALSE))</f>
        <v/>
      </c>
    </row>
    <row r="18" spans="1:17" s="223" customFormat="1" x14ac:dyDescent="0.25">
      <c r="A18" s="222" t="s">
        <v>253</v>
      </c>
      <c r="B18" s="27">
        <f>'Resource Management'!H56</f>
        <v>0</v>
      </c>
      <c r="C18" s="215">
        <f>IF(C16="","",VLOOKUP($A18,'Resource Management'!$C:$XX,(COLUMN(C18)-2)*2+10,FALSE))</f>
        <v>0</v>
      </c>
      <c r="D18" s="215">
        <f>IF(D16="","",VLOOKUP($A18,'Resource Management'!$C:$XX,(COLUMN(D18)-2)*2+10,FALSE))</f>
        <v>0</v>
      </c>
      <c r="E18" s="215">
        <f>IF(E16="","",VLOOKUP($A18,'Resource Management'!$C:$XX,(COLUMN(E18)-2)*2+10,FALSE))</f>
        <v>2</v>
      </c>
      <c r="F18" s="215">
        <f>IF(F16="","",VLOOKUP($A18,'Resource Management'!$C:$XX,(COLUMN(F18)-2)*2+10,FALSE))</f>
        <v>2</v>
      </c>
      <c r="G18" s="215">
        <f>IF(G16="","",VLOOKUP($A18,'Resource Management'!$C:$XX,(COLUMN(G18)-2)*2+10,FALSE))</f>
        <v>6</v>
      </c>
      <c r="H18" s="215">
        <f>IF(H16="","",VLOOKUP($A18,'Resource Management'!$C:$XX,(COLUMN(H18)-2)*2+10,FALSE))</f>
        <v>6</v>
      </c>
      <c r="I18" s="215">
        <f>IF(I16="","",VLOOKUP($A18,'Resource Management'!$C:$XX,(COLUMN(I18)-2)*2+10,FALSE))</f>
        <v>0</v>
      </c>
      <c r="J18" s="215">
        <f>IF(J16="","",VLOOKUP($A18,'Resource Management'!$C:$XX,(COLUMN(J18)-2)*2+10,FALSE))</f>
        <v>0</v>
      </c>
      <c r="K18" s="215" t="str">
        <f>IF(K16="","",VLOOKUP($A18,'Resource Management'!$C:$XX,(COLUMN(K18)-2)*2+10,FALSE))</f>
        <v/>
      </c>
      <c r="L18" s="215" t="str">
        <f>IF(L16="","",VLOOKUP($A18,'Resource Management'!$C:$XX,(COLUMN(L18)-2)*2+10,FALSE))</f>
        <v/>
      </c>
      <c r="M18" s="215" t="str">
        <f>IF(M16="","",VLOOKUP($A18,'Resource Management'!$C:$XX,(COLUMN(M18)-2)*2+10,FALSE))</f>
        <v/>
      </c>
      <c r="N18" s="215" t="str">
        <f>IF(N16="","",VLOOKUP($A18,'Resource Management'!$C:$XX,(COLUMN(N18)-2)*2+10,FALSE))</f>
        <v/>
      </c>
      <c r="O18" s="215" t="str">
        <f>IF(O16="","",VLOOKUP($A18,'Resource Management'!$C:$XX,(COLUMN(O18)-2)*2+10,FALSE))</f>
        <v/>
      </c>
      <c r="P18" s="215" t="str">
        <f>IF(P16="","",VLOOKUP($A18,'Resource Management'!$C:$XX,(COLUMN(P18)-2)*2+10,FALSE))</f>
        <v/>
      </c>
      <c r="Q18" s="215" t="str">
        <f>IF(Q16="","",VLOOKUP($A18,'Resource Management'!$C:$XX,(COLUMN(Q18)-2)*2+10,FALSE))</f>
        <v/>
      </c>
    </row>
    <row r="19" spans="1:17" s="223" customFormat="1" x14ac:dyDescent="0.25">
      <c r="A19" s="222" t="s">
        <v>255</v>
      </c>
      <c r="B19" s="27">
        <f>'Resource Management'!H57</f>
        <v>0</v>
      </c>
      <c r="C19" s="215">
        <f>IF(C17="","",VLOOKUP($A19,'Resource Management'!$C:$XX,(COLUMN(C19)-2)*2+10,FALSE))</f>
        <v>0</v>
      </c>
      <c r="D19" s="215">
        <f>IF(D17="","",VLOOKUP($A19,'Resource Management'!$C:$XX,(COLUMN(D19)-2)*2+10,FALSE))</f>
        <v>0</v>
      </c>
      <c r="E19" s="215">
        <f>IF(E17="","",VLOOKUP($A19,'Resource Management'!$C:$XX,(COLUMN(E19)-2)*2+10,FALSE))</f>
        <v>6</v>
      </c>
      <c r="F19" s="215">
        <f>IF(F17="","",VLOOKUP($A19,'Resource Management'!$C:$XX,(COLUMN(F19)-2)*2+10,FALSE))</f>
        <v>22</v>
      </c>
      <c r="G19" s="215">
        <f>IF(G17="","",VLOOKUP($A19,'Resource Management'!$C:$XX,(COLUMN(G19)-2)*2+10,FALSE))</f>
        <v>26</v>
      </c>
      <c r="H19" s="215">
        <f>IF(H17="","",VLOOKUP($A19,'Resource Management'!$C:$XX,(COLUMN(H19)-2)*2+10,FALSE))</f>
        <v>8</v>
      </c>
      <c r="I19" s="215">
        <f>IF(I17="","",VLOOKUP($A19,'Resource Management'!$C:$XX,(COLUMN(I19)-2)*2+10,FALSE))</f>
        <v>4</v>
      </c>
      <c r="J19" s="215">
        <f>IF(J17="","",VLOOKUP($A19,'Resource Management'!$C:$XX,(COLUMN(J19)-2)*2+10,FALSE))</f>
        <v>4</v>
      </c>
      <c r="K19" s="215">
        <f>IF(K17="","",VLOOKUP($A19,'Resource Management'!$C:$XX,(COLUMN(K19)-2)*2+10,FALSE))</f>
        <v>0</v>
      </c>
      <c r="L19" s="215" t="str">
        <f>IF(L17="","",VLOOKUP($A19,'Resource Management'!$C:$XX,(COLUMN(L19)-2)*2+10,FALSE))</f>
        <v/>
      </c>
      <c r="M19" s="215" t="str">
        <f>IF(M17="","",VLOOKUP($A19,'Resource Management'!$C:$XX,(COLUMN(M19)-2)*2+10,FALSE))</f>
        <v/>
      </c>
      <c r="N19" s="215" t="str">
        <f>IF(N17="","",VLOOKUP($A19,'Resource Management'!$C:$XX,(COLUMN(N19)-2)*2+10,FALSE))</f>
        <v/>
      </c>
      <c r="O19" s="215" t="str">
        <f>IF(O17="","",VLOOKUP($A19,'Resource Management'!$C:$XX,(COLUMN(O19)-2)*2+10,FALSE))</f>
        <v/>
      </c>
      <c r="P19" s="215" t="str">
        <f>IF(P17="","",VLOOKUP($A19,'Resource Management'!$C:$XX,(COLUMN(P19)-2)*2+10,FALSE))</f>
        <v/>
      </c>
      <c r="Q19" s="215" t="str">
        <f>IF(Q17="","",VLOOKUP($A19,'Resource Management'!$C:$XX,(COLUMN(Q19)-2)*2+10,FALSE))</f>
        <v/>
      </c>
    </row>
    <row r="20" spans="1:17" s="223" customFormat="1" x14ac:dyDescent="0.25">
      <c r="A20" s="222" t="s">
        <v>257</v>
      </c>
      <c r="B20" s="27">
        <f>'Resource Management'!H58</f>
        <v>0</v>
      </c>
      <c r="C20" s="215">
        <f>IF(C18="","",VLOOKUP($A20,'Resource Management'!$C:$XX,(COLUMN(C20)-2)*2+10,FALSE))</f>
        <v>0</v>
      </c>
      <c r="D20" s="215">
        <f>IF(D18="","",VLOOKUP($A20,'Resource Management'!$C:$XX,(COLUMN(D20)-2)*2+10,FALSE))</f>
        <v>0</v>
      </c>
      <c r="E20" s="215">
        <f>IF(E18="","",VLOOKUP($A20,'Resource Management'!$C:$XX,(COLUMN(E20)-2)*2+10,FALSE))</f>
        <v>4</v>
      </c>
      <c r="F20" s="215">
        <f>IF(F18="","",VLOOKUP($A20,'Resource Management'!$C:$XX,(COLUMN(F20)-2)*2+10,FALSE))</f>
        <v>16</v>
      </c>
      <c r="G20" s="215">
        <f>IF(G18="","",VLOOKUP($A20,'Resource Management'!$C:$XX,(COLUMN(G20)-2)*2+10,FALSE))</f>
        <v>24</v>
      </c>
      <c r="H20" s="215">
        <f>IF(H18="","",VLOOKUP($A20,'Resource Management'!$C:$XX,(COLUMN(H20)-2)*2+10,FALSE))</f>
        <v>4</v>
      </c>
      <c r="I20" s="215">
        <f>IF(I18="","",VLOOKUP($A20,'Resource Management'!$C:$XX,(COLUMN(I20)-2)*2+10,FALSE))</f>
        <v>16</v>
      </c>
      <c r="J20" s="215">
        <f>IF(J18="","",VLOOKUP($A20,'Resource Management'!$C:$XX,(COLUMN(J20)-2)*2+10,FALSE))</f>
        <v>4</v>
      </c>
      <c r="K20" s="215" t="str">
        <f>IF(K18="","",VLOOKUP($A20,'Resource Management'!$C:$XX,(COLUMN(K20)-2)*2+10,FALSE))</f>
        <v/>
      </c>
      <c r="L20" s="215" t="str">
        <f>IF(L18="","",VLOOKUP($A20,'Resource Management'!$C:$XX,(COLUMN(L20)-2)*2+10,FALSE))</f>
        <v/>
      </c>
      <c r="M20" s="215" t="str">
        <f>IF(M18="","",VLOOKUP($A20,'Resource Management'!$C:$XX,(COLUMN(M20)-2)*2+10,FALSE))</f>
        <v/>
      </c>
      <c r="N20" s="215" t="str">
        <f>IF(N18="","",VLOOKUP($A20,'Resource Management'!$C:$XX,(COLUMN(N20)-2)*2+10,FALSE))</f>
        <v/>
      </c>
      <c r="O20" s="215" t="str">
        <f>IF(O18="","",VLOOKUP($A20,'Resource Management'!$C:$XX,(COLUMN(O20)-2)*2+10,FALSE))</f>
        <v/>
      </c>
      <c r="P20" s="215" t="str">
        <f>IF(P18="","",VLOOKUP($A20,'Resource Management'!$C:$XX,(COLUMN(P20)-2)*2+10,FALSE))</f>
        <v/>
      </c>
      <c r="Q20" s="215" t="str">
        <f>IF(Q18="","",VLOOKUP($A20,'Resource Management'!$C:$XX,(COLUMN(Q20)-2)*2+10,FALSE))</f>
        <v/>
      </c>
    </row>
    <row r="21" spans="1:17" s="223" customFormat="1" x14ac:dyDescent="0.25">
      <c r="A21" s="222" t="s">
        <v>665</v>
      </c>
      <c r="B21" s="27">
        <f>IF(B$1="","",SUM(B3:B7))</f>
        <v>70.38</v>
      </c>
      <c r="C21" s="27">
        <f>IF(C$1="","",SUM(C3:C7))</f>
        <v>98.750000000000014</v>
      </c>
      <c r="D21" s="27">
        <f t="shared" ref="D21:Q21" si="0">IF(D$1="","",SUM(D3:D7))</f>
        <v>97.929999999999993</v>
      </c>
      <c r="E21" s="27">
        <f t="shared" si="0"/>
        <v>115.94</v>
      </c>
      <c r="F21" s="27">
        <f t="shared" si="0"/>
        <v>149.69000000000003</v>
      </c>
      <c r="G21" s="27">
        <f t="shared" si="0"/>
        <v>186.23</v>
      </c>
      <c r="H21" s="27">
        <f t="shared" si="0"/>
        <v>192.75</v>
      </c>
      <c r="I21" s="27">
        <f t="shared" si="0"/>
        <v>132.56</v>
      </c>
      <c r="J21" s="27">
        <f t="shared" si="0"/>
        <v>101.88999999999999</v>
      </c>
      <c r="K21" s="27">
        <f t="shared" si="0"/>
        <v>0</v>
      </c>
      <c r="L21" s="27" t="str">
        <f t="shared" si="0"/>
        <v/>
      </c>
      <c r="M21" s="27" t="str">
        <f t="shared" si="0"/>
        <v/>
      </c>
      <c r="N21" s="27" t="str">
        <f t="shared" si="0"/>
        <v/>
      </c>
      <c r="O21" s="27" t="str">
        <f t="shared" si="0"/>
        <v/>
      </c>
      <c r="P21" s="27" t="str">
        <f t="shared" si="0"/>
        <v/>
      </c>
      <c r="Q21" s="27" t="str">
        <f t="shared" si="0"/>
        <v/>
      </c>
    </row>
    <row r="22" spans="1:17" s="223" customFormat="1" x14ac:dyDescent="0.25">
      <c r="A22" s="222" t="s">
        <v>666</v>
      </c>
      <c r="B22" s="27">
        <f t="shared" ref="B22:C22" si="1">IF(B$1="","",SUM(B4:B8))</f>
        <v>540</v>
      </c>
      <c r="C22" s="27">
        <f t="shared" si="1"/>
        <v>175.85000000000002</v>
      </c>
      <c r="D22" s="27">
        <f t="shared" ref="D22:Q22" si="2">IF(D$1="","",SUM(D4:D8))</f>
        <v>174.60000000000002</v>
      </c>
      <c r="E22" s="27">
        <f t="shared" si="2"/>
        <v>173.26</v>
      </c>
      <c r="F22" s="27">
        <f t="shared" si="2"/>
        <v>216.62</v>
      </c>
      <c r="G22" s="27">
        <f t="shared" si="2"/>
        <v>226.87</v>
      </c>
      <c r="H22" s="27">
        <f t="shared" si="2"/>
        <v>233.14</v>
      </c>
      <c r="I22" s="27">
        <f t="shared" si="2"/>
        <v>232.47</v>
      </c>
      <c r="J22" s="27">
        <f t="shared" si="2"/>
        <v>554.31999999999994</v>
      </c>
      <c r="K22" s="27">
        <f t="shared" si="2"/>
        <v>0</v>
      </c>
      <c r="L22" s="27" t="str">
        <f t="shared" si="2"/>
        <v/>
      </c>
      <c r="M22" s="27" t="str">
        <f t="shared" si="2"/>
        <v/>
      </c>
      <c r="N22" s="27" t="str">
        <f t="shared" si="2"/>
        <v/>
      </c>
      <c r="O22" s="27" t="str">
        <f t="shared" si="2"/>
        <v/>
      </c>
      <c r="P22" s="27" t="str">
        <f t="shared" si="2"/>
        <v/>
      </c>
      <c r="Q22" s="27" t="str">
        <f t="shared" si="2"/>
        <v/>
      </c>
    </row>
    <row r="23" spans="1:17" s="226" customFormat="1" ht="15.75" thickBot="1" x14ac:dyDescent="0.3">
      <c r="A23" s="224" t="s">
        <v>667</v>
      </c>
      <c r="B23" s="225">
        <f t="shared" ref="B23:C23" si="3">IF(B$1="","",SUM(B5:B9))</f>
        <v>944.82</v>
      </c>
      <c r="C23" s="225">
        <f t="shared" si="3"/>
        <v>229.11999999999998</v>
      </c>
      <c r="D23" s="225">
        <f t="shared" ref="D23:Q23" si="4">IF(D$1="","",SUM(D5:D9))</f>
        <v>221.54</v>
      </c>
      <c r="E23" s="225">
        <f t="shared" si="4"/>
        <v>214.50000000000003</v>
      </c>
      <c r="F23" s="225">
        <f t="shared" si="4"/>
        <v>296.14000000000004</v>
      </c>
      <c r="G23" s="225">
        <f t="shared" si="4"/>
        <v>305.39999999999998</v>
      </c>
      <c r="H23" s="225">
        <f t="shared" si="4"/>
        <v>310.72000000000003</v>
      </c>
      <c r="I23" s="225">
        <f t="shared" si="4"/>
        <v>342.04999999999995</v>
      </c>
      <c r="J23" s="225">
        <f t="shared" si="4"/>
        <v>961.62999999999988</v>
      </c>
      <c r="K23" s="225">
        <f t="shared" si="4"/>
        <v>0</v>
      </c>
      <c r="L23" s="225" t="str">
        <f t="shared" si="4"/>
        <v/>
      </c>
      <c r="M23" s="225" t="str">
        <f t="shared" si="4"/>
        <v/>
      </c>
      <c r="N23" s="225" t="str">
        <f t="shared" si="4"/>
        <v/>
      </c>
      <c r="O23" s="225" t="str">
        <f t="shared" si="4"/>
        <v/>
      </c>
      <c r="P23" s="225" t="str">
        <f t="shared" si="4"/>
        <v/>
      </c>
      <c r="Q23" s="225" t="str">
        <f t="shared" si="4"/>
        <v/>
      </c>
    </row>
    <row r="24" spans="1:17" s="229" customFormat="1" ht="15.75" thickBot="1" x14ac:dyDescent="0.3">
      <c r="A24" s="227" t="s">
        <v>180</v>
      </c>
      <c r="B24" s="228">
        <f>'Management Overview'!E45</f>
        <v>267362801.40000001</v>
      </c>
      <c r="C24" s="228">
        <f>IF(C1="","",'Management Overview'!F45)</f>
        <v>-27188943.465</v>
      </c>
      <c r="D24" s="228">
        <f>IF(D1="","",'Management Overview'!G45)</f>
        <v>5661406.7340000002</v>
      </c>
      <c r="E24" s="228">
        <f>IF(E1="","",'Management Overview'!H45)</f>
        <v>13422382.1</v>
      </c>
      <c r="F24" s="228">
        <f>IF(F1="","",'Management Overview'!I45)</f>
        <v>21654833.449999999</v>
      </c>
      <c r="G24" s="228">
        <f>IF(G1="","",'Management Overview'!J45)</f>
        <v>54599436.975000001</v>
      </c>
      <c r="H24" s="228">
        <f>IF(H1="","",'Management Overview'!K45)</f>
        <v>18709185.903999999</v>
      </c>
      <c r="I24" s="228">
        <f>IF(I1="","",'Management Overview'!L45)</f>
        <v>90047824.450000003</v>
      </c>
      <c r="J24" s="228">
        <f>IF(J1="","",'Management Overview'!M45)</f>
        <v>232512052.65799999</v>
      </c>
      <c r="K24" s="228">
        <f>IF(K1="","",'Management Overview'!N45)</f>
        <v>0</v>
      </c>
      <c r="L24" s="228" t="str">
        <f>IF(L1="","",'Management Overview'!O45)</f>
        <v/>
      </c>
      <c r="M24" s="228" t="str">
        <f>IF(M1="","",'Management Overview'!P45)</f>
        <v/>
      </c>
      <c r="N24" s="228" t="str">
        <f>IF(N1="","",'Management Overview'!Q45)</f>
        <v/>
      </c>
      <c r="O24" s="228" t="str">
        <f>IF(O1="","",'Management Overview'!R45)</f>
        <v/>
      </c>
      <c r="P24" s="228" t="str">
        <f>IF(P1="","",'Management Overview'!S45)</f>
        <v/>
      </c>
      <c r="Q24" s="228" t="str">
        <f>IF(Q1="","",'Management Overview'!T45)</f>
        <v/>
      </c>
    </row>
    <row r="25" spans="1:17" s="221" customFormat="1" x14ac:dyDescent="0.25">
      <c r="A25" s="219" t="s">
        <v>22</v>
      </c>
      <c r="B25" s="232">
        <f>IF(B$1="","",'Balanced Score Card'!E22*B3)</f>
        <v>0</v>
      </c>
      <c r="C25" s="232">
        <f>IF(C$1="","",'Balanced Score Card'!F22*C3)</f>
        <v>7.2093759999999998</v>
      </c>
      <c r="D25" s="232">
        <f>IF(D$1="","",'Balanced Score Card'!G22*D3)</f>
        <v>6.7189439999999996</v>
      </c>
      <c r="E25" s="232">
        <f>IF(E$1="","",'Balanced Score Card'!H22*E3)</f>
        <v>24.412505000000003</v>
      </c>
      <c r="F25" s="232">
        <f>IF(F$1="","",'Balanced Score Card'!I22*F3)</f>
        <v>60.902204000000005</v>
      </c>
      <c r="G25" s="232">
        <f>IF(G$1="","",'Balanced Score Card'!J22*G3)</f>
        <v>87.719823000000005</v>
      </c>
      <c r="H25" s="232">
        <f>IF(H$1="","",'Balanced Score Card'!K22*H3)</f>
        <v>73.718000000000004</v>
      </c>
      <c r="I25" s="232">
        <f>IF(I$1="","",'Balanced Score Card'!L22*I3)</f>
        <v>38.638032000000003</v>
      </c>
      <c r="J25" s="232">
        <f>IF(J$1="","",'Balanced Score Card'!M22*J3)</f>
        <v>16.044755000000002</v>
      </c>
      <c r="K25" s="232">
        <f>IF(K$1="","",'Balanced Score Card'!N22*K3)</f>
        <v>0</v>
      </c>
      <c r="L25" s="232" t="str">
        <f>IF(L$1="","",'Balanced Score Card'!O22*L3)</f>
        <v/>
      </c>
      <c r="M25" s="232" t="str">
        <f>IF(M$1="","",'Balanced Score Card'!P22*M3)</f>
        <v/>
      </c>
      <c r="N25" s="232" t="str">
        <f>IF(N$1="","",'Balanced Score Card'!Q22*N3)</f>
        <v/>
      </c>
      <c r="O25" s="232" t="str">
        <f>IF(O$1="","",'Balanced Score Card'!R22*O3)</f>
        <v/>
      </c>
      <c r="P25" s="232" t="str">
        <f>IF(P$1="","",'Balanced Score Card'!S22*P3)</f>
        <v/>
      </c>
      <c r="Q25" s="232" t="str">
        <f>IF(Q$1="","",'Balanced Score Card'!T22*Q3)</f>
        <v/>
      </c>
    </row>
    <row r="26" spans="1:17" s="223" customFormat="1" x14ac:dyDescent="0.25">
      <c r="A26" s="222" t="s">
        <v>23</v>
      </c>
      <c r="B26" s="230">
        <f>IF(B$1="","",'Balanced Score Card'!E23*B4)</f>
        <v>4.0518539999999996</v>
      </c>
      <c r="C26" s="230">
        <f>IF(C$1="","",'Balanced Score Card'!F23*C4)</f>
        <v>8.9742870000000003</v>
      </c>
      <c r="D26" s="230">
        <f>IF(D$1="","",'Balanced Score Card'!G23*D4)</f>
        <v>8.0536399999999997</v>
      </c>
      <c r="E26" s="230">
        <f>IF(E$1="","",'Balanced Score Card'!H23*E4)</f>
        <v>7.2161599999999995</v>
      </c>
      <c r="F26" s="230">
        <f>IF(F$1="","",'Balanced Score Card'!I23*F4)</f>
        <v>6.3275460000000008</v>
      </c>
      <c r="G26" s="230">
        <f>IF(G$1="","",'Balanced Score Card'!J23*G4)</f>
        <v>5.5995170000000005</v>
      </c>
      <c r="H26" s="230">
        <f>IF(H$1="","",'Balanced Score Card'!K23*H4)</f>
        <v>5.2244950000000001</v>
      </c>
      <c r="I26" s="230">
        <f>IF(I$1="","",'Balanced Score Card'!L23*I4)</f>
        <v>4.0130100000000004</v>
      </c>
      <c r="J26" s="230">
        <f>IF(J$1="","",'Balanced Score Card'!M23*J4)</f>
        <v>4.0590000000000002</v>
      </c>
      <c r="K26" s="230" t="e">
        <f>IF(K$1="","",'Balanced Score Card'!N23*K4)</f>
        <v>#VALUE!</v>
      </c>
      <c r="L26" s="230" t="str">
        <f>IF(L$1="","",'Balanced Score Card'!O23*L4)</f>
        <v/>
      </c>
      <c r="M26" s="230" t="str">
        <f>IF(M$1="","",'Balanced Score Card'!P23*M4)</f>
        <v/>
      </c>
      <c r="N26" s="230" t="str">
        <f>IF(N$1="","",'Balanced Score Card'!Q23*N4)</f>
        <v/>
      </c>
      <c r="O26" s="230" t="str">
        <f>IF(O$1="","",'Balanced Score Card'!R23*O4)</f>
        <v/>
      </c>
      <c r="P26" s="230" t="str">
        <f>IF(P$1="","",'Balanced Score Card'!S23*P4)</f>
        <v/>
      </c>
      <c r="Q26" s="230" t="str">
        <f>IF(Q$1="","",'Balanced Score Card'!T23*Q4)</f>
        <v/>
      </c>
    </row>
    <row r="27" spans="1:17" s="223" customFormat="1" x14ac:dyDescent="0.25">
      <c r="A27" s="222" t="s">
        <v>24</v>
      </c>
      <c r="B27" s="230">
        <f>IF(B$1="","",'Balanced Score Card'!E24*B5)</f>
        <v>3.5959999999999999E-2</v>
      </c>
      <c r="C27" s="230">
        <f>IF(C$1="","",'Balanced Score Card'!F24*C5)</f>
        <v>7.0191780000000001</v>
      </c>
      <c r="D27" s="230">
        <f>IF(D$1="","",'Balanced Score Card'!G24*D5)</f>
        <v>4.7741699999999998</v>
      </c>
      <c r="E27" s="230">
        <f>IF(E$1="","",'Balanced Score Card'!H24*E5)</f>
        <v>3.225886</v>
      </c>
      <c r="F27" s="230">
        <f>IF(F$1="","",'Balanced Score Card'!I24*F5)</f>
        <v>1.3883110000000001</v>
      </c>
      <c r="G27" s="230">
        <f>IF(G$1="","",'Balanced Score Card'!J24*G5)</f>
        <v>0.62247999999999992</v>
      </c>
      <c r="H27" s="230">
        <f>IF(H$1="","",'Balanced Score Card'!K24*H5)</f>
        <v>0.27849599999999997</v>
      </c>
      <c r="I27" s="230">
        <f>IF(I$1="","",'Balanced Score Card'!L24*I5)</f>
        <v>0.14044799999999999</v>
      </c>
      <c r="J27" s="230">
        <f>IF(J$1="","",'Balanced Score Card'!M24*J5)</f>
        <v>0.10328999999999999</v>
      </c>
      <c r="K27" s="230">
        <f>IF(K$1="","",'Balanced Score Card'!N24*K5)</f>
        <v>0</v>
      </c>
      <c r="L27" s="230" t="str">
        <f>IF(L$1="","",'Balanced Score Card'!O24*L5)</f>
        <v/>
      </c>
      <c r="M27" s="230" t="str">
        <f>IF(M$1="","",'Balanced Score Card'!P24*M5)</f>
        <v/>
      </c>
      <c r="N27" s="230" t="str">
        <f>IF(N$1="","",'Balanced Score Card'!Q24*N5)</f>
        <v/>
      </c>
      <c r="O27" s="230" t="str">
        <f>IF(O$1="","",'Balanced Score Card'!R24*O5)</f>
        <v/>
      </c>
      <c r="P27" s="230" t="str">
        <f>IF(P$1="","",'Balanced Score Card'!S24*P5)</f>
        <v/>
      </c>
      <c r="Q27" s="230" t="str">
        <f>IF(Q$1="","",'Balanced Score Card'!T24*Q5)</f>
        <v/>
      </c>
    </row>
    <row r="28" spans="1:17" s="223" customFormat="1" x14ac:dyDescent="0.25">
      <c r="A28" s="222" t="s">
        <v>25</v>
      </c>
      <c r="B28" s="230">
        <f>IF(B$1="","",'Balanced Score Card'!E25*B6)</f>
        <v>12.872587000000001</v>
      </c>
      <c r="C28" s="230">
        <f>IF(C$1="","",'Balanced Score Card'!F25*C6)</f>
        <v>24.721010999999997</v>
      </c>
      <c r="D28" s="230">
        <f>IF(D$1="","",'Balanced Score Card'!G25*D6)</f>
        <v>23.833600000000001</v>
      </c>
      <c r="E28" s="230">
        <f>IF(E$1="","",'Balanced Score Card'!H25*E6)</f>
        <v>22.875745000000002</v>
      </c>
      <c r="F28" s="230">
        <f>IF(F$1="","",'Balanced Score Card'!I25*F6)</f>
        <v>22.580064999999998</v>
      </c>
      <c r="G28" s="230">
        <f>IF(G$1="","",'Balanced Score Card'!J25*G6)</f>
        <v>23.114965000000002</v>
      </c>
      <c r="H28" s="230">
        <f>IF(H$1="","",'Balanced Score Card'!K25*H6)</f>
        <v>23.452714</v>
      </c>
      <c r="I28" s="230">
        <f>IF(I$1="","",'Balanced Score Card'!L25*I6)</f>
        <v>20.205981999999999</v>
      </c>
      <c r="J28" s="230">
        <f>IF(J$1="","",'Balanced Score Card'!M25*J6)</f>
        <v>18.990272000000001</v>
      </c>
      <c r="K28" s="230" t="e">
        <f>IF(K$1="","",'Balanced Score Card'!N25*K6)</f>
        <v>#VALUE!</v>
      </c>
      <c r="L28" s="230" t="str">
        <f>IF(L$1="","",'Balanced Score Card'!O25*L6)</f>
        <v/>
      </c>
      <c r="M28" s="230" t="str">
        <f>IF(M$1="","",'Balanced Score Card'!P25*M6)</f>
        <v/>
      </c>
      <c r="N28" s="230" t="str">
        <f>IF(N$1="","",'Balanced Score Card'!Q25*N6)</f>
        <v/>
      </c>
      <c r="O28" s="230" t="str">
        <f>IF(O$1="","",'Balanced Score Card'!R25*O6)</f>
        <v/>
      </c>
      <c r="P28" s="230" t="str">
        <f>IF(P$1="","",'Balanced Score Card'!S25*P6)</f>
        <v/>
      </c>
      <c r="Q28" s="230" t="str">
        <f>IF(Q$1="","",'Balanced Score Card'!T25*Q6)</f>
        <v/>
      </c>
    </row>
    <row r="29" spans="1:17" s="223" customFormat="1" x14ac:dyDescent="0.25">
      <c r="A29" s="222" t="s">
        <v>26</v>
      </c>
      <c r="B29" s="230">
        <f>IF(B$1="","",'Balanced Score Card'!E26*B7)</f>
        <v>27.429925000000001</v>
      </c>
      <c r="C29" s="230">
        <f>IF(C$1="","",'Balanced Score Card'!F26*C7)</f>
        <v>15.712963</v>
      </c>
      <c r="D29" s="230">
        <f>IF(D$1="","",'Balanced Score Card'!G26*D7)</f>
        <v>14.223377999999999</v>
      </c>
      <c r="E29" s="230">
        <f>IF(E$1="","",'Balanced Score Card'!H26*E7)</f>
        <v>11.841871000000001</v>
      </c>
      <c r="F29" s="230">
        <f>IF(F$1="","",'Balanced Score Card'!I26*F7)</f>
        <v>8.3382650000000016</v>
      </c>
      <c r="G29" s="230">
        <f>IF(G$1="","",'Balanced Score Card'!J26*G7)</f>
        <v>20.247084000000001</v>
      </c>
      <c r="H29" s="230">
        <f>IF(H$1="","",'Balanced Score Card'!K26*H7)</f>
        <v>29.161964999999999</v>
      </c>
      <c r="I29" s="230">
        <f>IF(I$1="","",'Balanced Score Card'!L26*I7)</f>
        <v>26.080206</v>
      </c>
      <c r="J29" s="230">
        <f>IF(J$1="","",'Balanced Score Card'!M26*J7)</f>
        <v>26.792849999999998</v>
      </c>
      <c r="K29" s="230">
        <f>IF(K$1="","",'Balanced Score Card'!N26*K7)</f>
        <v>0</v>
      </c>
      <c r="L29" s="230" t="str">
        <f>IF(L$1="","",'Balanced Score Card'!O26*L7)</f>
        <v/>
      </c>
      <c r="M29" s="230" t="str">
        <f>IF(M$1="","",'Balanced Score Card'!P26*M7)</f>
        <v/>
      </c>
      <c r="N29" s="230" t="str">
        <f>IF(N$1="","",'Balanced Score Card'!Q26*N7)</f>
        <v/>
      </c>
      <c r="O29" s="230" t="str">
        <f>IF(O$1="","",'Balanced Score Card'!R26*O7)</f>
        <v/>
      </c>
      <c r="P29" s="230" t="str">
        <f>IF(P$1="","",'Balanced Score Card'!S26*P7)</f>
        <v/>
      </c>
      <c r="Q29" s="230" t="str">
        <f>IF(Q$1="","",'Balanced Score Card'!T26*Q7)</f>
        <v/>
      </c>
    </row>
    <row r="30" spans="1:17" s="223" customFormat="1" x14ac:dyDescent="0.25">
      <c r="A30" s="222" t="s">
        <v>246</v>
      </c>
      <c r="B30" s="231">
        <f>IF(B$1="","",'Balanced Score Card'!E79*B12)</f>
        <v>10.465042</v>
      </c>
      <c r="C30" s="231">
        <f>IF(C$1="","",'Balanced Score Card'!F79*C12)</f>
        <v>139.18418800000001</v>
      </c>
      <c r="D30" s="231">
        <f>IF(D$1="","",'Balanced Score Card'!G79*D12)</f>
        <v>128.72527199999999</v>
      </c>
      <c r="E30" s="231">
        <f>IF(E$1="","",'Balanced Score Card'!H79*E12)</f>
        <v>174.60408000000001</v>
      </c>
      <c r="F30" s="231">
        <f>IF(F$1="","",'Balanced Score Card'!I79*F12)</f>
        <v>309.37771499999997</v>
      </c>
      <c r="G30" s="231">
        <f>IF(G$1="","",'Balanced Score Card'!J79*G12)</f>
        <v>251.04774600000002</v>
      </c>
      <c r="H30" s="231">
        <f>IF(H$1="","",'Balanced Score Card'!K79*H12)</f>
        <v>181.32566</v>
      </c>
      <c r="I30" s="231">
        <f>IF(I$1="","",'Balanced Score Card'!L79*I12)</f>
        <v>90.39080100000001</v>
      </c>
      <c r="J30" s="231">
        <f>IF(J$1="","",'Balanced Score Card'!M79*J12)</f>
        <v>35.642452999999996</v>
      </c>
      <c r="K30" s="231" t="e">
        <f>IF(K$1="","",'Balanced Score Card'!N79*K12)</f>
        <v>#VALUE!</v>
      </c>
      <c r="L30" s="231" t="str">
        <f>IF(L$1="","",'Balanced Score Card'!O79*L12)</f>
        <v/>
      </c>
      <c r="M30" s="231" t="str">
        <f>IF(M$1="","",'Balanced Score Card'!P79*M12)</f>
        <v/>
      </c>
      <c r="N30" s="231" t="str">
        <f>IF(N$1="","",'Balanced Score Card'!Q79*N12)</f>
        <v/>
      </c>
      <c r="O30" s="231" t="str">
        <f>IF(O$1="","",'Balanced Score Card'!R79*O12)</f>
        <v/>
      </c>
      <c r="P30" s="231" t="str">
        <f>IF(P$1="","",'Balanced Score Card'!S79*P12)</f>
        <v/>
      </c>
      <c r="Q30" s="231" t="str">
        <f>IF(Q$1="","",'Balanced Score Card'!T79*Q12)</f>
        <v/>
      </c>
    </row>
    <row r="31" spans="1:17" s="223" customFormat="1" x14ac:dyDescent="0.25">
      <c r="A31" s="222" t="s">
        <v>247</v>
      </c>
      <c r="B31" s="231">
        <f>IF(B$1="","",'Balanced Score Card'!E80*B13)</f>
        <v>37.940275999999997</v>
      </c>
      <c r="C31" s="231">
        <f>IF(C$1="","",'Balanced Score Card'!F80*C13)</f>
        <v>154.02621599999998</v>
      </c>
      <c r="D31" s="231">
        <f>IF(D$1="","",'Balanced Score Card'!G80*D13)</f>
        <v>152.085421</v>
      </c>
      <c r="E31" s="231">
        <f>IF(E$1="","",'Balanced Score Card'!H80*E13)</f>
        <v>141.25411299999999</v>
      </c>
      <c r="F31" s="231">
        <f>IF(F$1="","",'Balanced Score Card'!I80*F13)</f>
        <v>244.35639900000001</v>
      </c>
      <c r="G31" s="231">
        <f>IF(G$1="","",'Balanced Score Card'!J80*G13)</f>
        <v>211.70919000000001</v>
      </c>
      <c r="H31" s="231">
        <f>IF(H$1="","",'Balanced Score Card'!K80*H13)</f>
        <v>163.85132400000001</v>
      </c>
      <c r="I31" s="231">
        <f>IF(I$1="","",'Balanced Score Card'!L80*I13)</f>
        <v>91.616394999999997</v>
      </c>
      <c r="J31" s="231">
        <f>IF(J$1="","",'Balanced Score Card'!M80*J13)</f>
        <v>59.872652000000002</v>
      </c>
      <c r="K31" s="231">
        <f>IF(K$1="","",'Balanced Score Card'!N80*K13)</f>
        <v>0</v>
      </c>
      <c r="L31" s="231" t="str">
        <f>IF(L$1="","",'Balanced Score Card'!O80*L13)</f>
        <v/>
      </c>
      <c r="M31" s="231" t="str">
        <f>IF(M$1="","",'Balanced Score Card'!P80*M13)</f>
        <v/>
      </c>
      <c r="N31" s="231" t="str">
        <f>IF(N$1="","",'Balanced Score Card'!Q80*N13)</f>
        <v/>
      </c>
      <c r="O31" s="231" t="str">
        <f>IF(O$1="","",'Balanced Score Card'!R80*O13)</f>
        <v/>
      </c>
      <c r="P31" s="231" t="str">
        <f>IF(P$1="","",'Balanced Score Card'!S80*P13)</f>
        <v/>
      </c>
      <c r="Q31" s="231" t="str">
        <f>IF(Q$1="","",'Balanced Score Card'!T80*Q13)</f>
        <v/>
      </c>
    </row>
    <row r="32" spans="1:17" s="223" customFormat="1" x14ac:dyDescent="0.25">
      <c r="A32" s="222" t="s">
        <v>248</v>
      </c>
      <c r="B32" s="231">
        <f>IF(B$1="","",'Balanced Score Card'!E81*B14)</f>
        <v>313.14552299999997</v>
      </c>
      <c r="C32" s="231">
        <f>IF(C$1="","",'Balanced Score Card'!F81*C14)</f>
        <v>174.26205300000001</v>
      </c>
      <c r="D32" s="231">
        <f>IF(D$1="","",'Balanced Score Card'!G81*D14)</f>
        <v>169.459228</v>
      </c>
      <c r="E32" s="231">
        <f>IF(E$1="","",'Balanced Score Card'!H81*E14)</f>
        <v>168.29065</v>
      </c>
      <c r="F32" s="231">
        <f>IF(F$1="","",'Balanced Score Card'!I81*F14)</f>
        <v>243.62031899999999</v>
      </c>
      <c r="G32" s="231">
        <f>IF(G$1="","",'Balanced Score Card'!J81*G14)</f>
        <v>361.28413999999998</v>
      </c>
      <c r="H32" s="231">
        <f>IF(H$1="","",'Balanced Score Card'!K81*H14)</f>
        <v>342.10602</v>
      </c>
      <c r="I32" s="231">
        <f>IF(I$1="","",'Balanced Score Card'!L81*I14)</f>
        <v>330.21383999999995</v>
      </c>
      <c r="J32" s="231">
        <f>IF(J$1="","",'Balanced Score Card'!M81*J14)</f>
        <v>343.67678100000001</v>
      </c>
      <c r="K32" s="231" t="e">
        <f>IF(K$1="","",'Balanced Score Card'!N81*K14)</f>
        <v>#VALUE!</v>
      </c>
      <c r="L32" s="231" t="str">
        <f>IF(L$1="","",'Balanced Score Card'!O81*L14)</f>
        <v/>
      </c>
      <c r="M32" s="231" t="str">
        <f>IF(M$1="","",'Balanced Score Card'!P81*M14)</f>
        <v/>
      </c>
      <c r="N32" s="231" t="str">
        <f>IF(N$1="","",'Balanced Score Card'!Q81*N14)</f>
        <v/>
      </c>
      <c r="O32" s="231" t="str">
        <f>IF(O$1="","",'Balanced Score Card'!R81*O14)</f>
        <v/>
      </c>
      <c r="P32" s="231" t="str">
        <f>IF(P$1="","",'Balanced Score Card'!S81*P14)</f>
        <v/>
      </c>
      <c r="Q32" s="231" t="str">
        <f>IF(Q$1="","",'Balanced Score Card'!T81*Q14)</f>
        <v/>
      </c>
    </row>
    <row r="33" spans="1:17" s="223" customFormat="1" x14ac:dyDescent="0.25">
      <c r="A33" s="222" t="s">
        <v>249</v>
      </c>
      <c r="B33" s="231">
        <f>IF(B$1="","",'Balanced Score Card'!E82*B15)</f>
        <v>948.56014500000003</v>
      </c>
      <c r="C33" s="231">
        <f>IF(C$1="","",'Balanced Score Card'!F82*C15)</f>
        <v>126.59625</v>
      </c>
      <c r="D33" s="231">
        <f>IF(D$1="","",'Balanced Score Card'!G82*D15)</f>
        <v>116.86150799999999</v>
      </c>
      <c r="E33" s="231">
        <f>IF(E$1="","",'Balanced Score Card'!H82*E15)</f>
        <v>161.45046400000001</v>
      </c>
      <c r="F33" s="231">
        <f>IF(F$1="","",'Balanced Score Card'!I82*F15)</f>
        <v>330.57577000000003</v>
      </c>
      <c r="G33" s="231">
        <f>IF(G$1="","",'Balanced Score Card'!J82*G15)</f>
        <v>347.73199999999997</v>
      </c>
      <c r="H33" s="231">
        <f>IF(H$1="","",'Balanced Score Card'!K82*H15)</f>
        <v>733.48183699999993</v>
      </c>
      <c r="I33" s="231">
        <f>IF(I$1="","",'Balanced Score Card'!L82*I15)</f>
        <v>864.49847699999998</v>
      </c>
      <c r="J33" s="231">
        <f>IF(J$1="","",'Balanced Score Card'!M82*J15)</f>
        <v>953.85016899999994</v>
      </c>
      <c r="K33" s="231">
        <f>IF(K$1="","",'Balanced Score Card'!N82*K15)</f>
        <v>0</v>
      </c>
      <c r="L33" s="231" t="str">
        <f>IF(L$1="","",'Balanced Score Card'!O82*L15)</f>
        <v/>
      </c>
      <c r="M33" s="231" t="str">
        <f>IF(M$1="","",'Balanced Score Card'!P82*M15)</f>
        <v/>
      </c>
      <c r="N33" s="231" t="str">
        <f>IF(N$1="","",'Balanced Score Card'!Q82*N15)</f>
        <v/>
      </c>
      <c r="O33" s="231" t="str">
        <f>IF(O$1="","",'Balanced Score Card'!R82*O15)</f>
        <v/>
      </c>
      <c r="P33" s="231" t="str">
        <f>IF(P$1="","",'Balanced Score Card'!S82*P15)</f>
        <v/>
      </c>
      <c r="Q33" s="231" t="str">
        <f>IF(Q$1="","",'Balanced Score Card'!T82*Q15)</f>
        <v/>
      </c>
    </row>
    <row r="34" spans="1:17" s="223" customFormat="1" x14ac:dyDescent="0.25">
      <c r="A34" s="222" t="s">
        <v>250</v>
      </c>
      <c r="B34" s="231">
        <f>IF(B$1="","",'Balanced Score Card'!E83*B16)</f>
        <v>837.71950499999991</v>
      </c>
      <c r="C34" s="231">
        <f>IF(C$1="","",'Balanced Score Card'!F83*C16)</f>
        <v>219.94185599999997</v>
      </c>
      <c r="D34" s="231">
        <f>IF(D$1="","",'Balanced Score Card'!G83*D16)</f>
        <v>185.21867599999999</v>
      </c>
      <c r="E34" s="231">
        <f>IF(E$1="","",'Balanced Score Card'!H83*E16)</f>
        <v>172.77101900000002</v>
      </c>
      <c r="F34" s="231">
        <f>IF(F$1="","",'Balanced Score Card'!I83*F16)</f>
        <v>181.56818699999999</v>
      </c>
      <c r="G34" s="231">
        <f>IF(G$1="","",'Balanced Score Card'!J83*G16)</f>
        <v>200.97300900000002</v>
      </c>
      <c r="H34" s="231">
        <f>IF(H$1="","",'Balanced Score Card'!K83*H16)</f>
        <v>512.56661399999996</v>
      </c>
      <c r="I34" s="231">
        <f>IF(I$1="","",'Balanced Score Card'!L83*I16)</f>
        <v>713.139996</v>
      </c>
      <c r="J34" s="231">
        <f>IF(J$1="","",'Balanced Score Card'!M83*J16)</f>
        <v>828.80589599999996</v>
      </c>
      <c r="K34" s="231" t="e">
        <f>IF(K$1="","",'Balanced Score Card'!N83*K16)</f>
        <v>#VALUE!</v>
      </c>
      <c r="L34" s="231" t="str">
        <f>IF(L$1="","",'Balanced Score Card'!O83*L16)</f>
        <v/>
      </c>
      <c r="M34" s="231" t="str">
        <f>IF(M$1="","",'Balanced Score Card'!P83*M16)</f>
        <v/>
      </c>
      <c r="N34" s="231" t="str">
        <f>IF(N$1="","",'Balanced Score Card'!Q83*N16)</f>
        <v/>
      </c>
      <c r="O34" s="231" t="str">
        <f>IF(O$1="","",'Balanced Score Card'!R83*O16)</f>
        <v/>
      </c>
      <c r="P34" s="231" t="str">
        <f>IF(P$1="","",'Balanced Score Card'!S83*P16)</f>
        <v/>
      </c>
      <c r="Q34" s="231" t="str">
        <f>IF(Q$1="","",'Balanced Score Card'!T83*Q16)</f>
        <v/>
      </c>
    </row>
    <row r="35" spans="1:17" s="223" customFormat="1" x14ac:dyDescent="0.25">
      <c r="A35" s="222" t="s">
        <v>251</v>
      </c>
      <c r="B35" s="231">
        <f>IF(B$1="","",'Balanced Score Card'!E84*B17)</f>
        <v>154.520208</v>
      </c>
      <c r="C35" s="231">
        <f>IF(C$1="","",'Balanced Score Card'!F84*C17)</f>
        <v>142.914342</v>
      </c>
      <c r="D35" s="231">
        <f>IF(D$1="","",'Balanced Score Card'!G84*D17)</f>
        <v>126.77968799999999</v>
      </c>
      <c r="E35" s="231">
        <f>IF(E$1="","",'Balanced Score Card'!H84*E17)</f>
        <v>105.867378</v>
      </c>
      <c r="F35" s="231">
        <f>IF(F$1="","",'Balanced Score Card'!I84*F17)</f>
        <v>91.432587999999996</v>
      </c>
      <c r="G35" s="231">
        <f>IF(G$1="","",'Balanced Score Card'!J84*G17)</f>
        <v>75.593627999999995</v>
      </c>
      <c r="H35" s="231">
        <f>IF(H$1="","",'Balanced Score Card'!K84*H17)</f>
        <v>164.90308000000002</v>
      </c>
      <c r="I35" s="231">
        <f>IF(I$1="","",'Balanced Score Card'!L84*I17)</f>
        <v>169.23498900000001</v>
      </c>
      <c r="J35" s="231">
        <f>IF(J$1="","",'Balanced Score Card'!M84*J17)</f>
        <v>172.247184</v>
      </c>
      <c r="K35" s="231">
        <f>IF(K$1="","",'Balanced Score Card'!N84*K17)</f>
        <v>0</v>
      </c>
      <c r="L35" s="231" t="str">
        <f>IF(L$1="","",'Balanced Score Card'!O84*L17)</f>
        <v/>
      </c>
      <c r="M35" s="231" t="str">
        <f>IF(M$1="","",'Balanced Score Card'!P84*M17)</f>
        <v/>
      </c>
      <c r="N35" s="231" t="str">
        <f>IF(N$1="","",'Balanced Score Card'!Q84*N17)</f>
        <v/>
      </c>
      <c r="O35" s="231" t="str">
        <f>IF(O$1="","",'Balanced Score Card'!R84*O17)</f>
        <v/>
      </c>
      <c r="P35" s="231" t="str">
        <f>IF(P$1="","",'Balanced Score Card'!S84*P17)</f>
        <v/>
      </c>
      <c r="Q35" s="231" t="str">
        <f>IF(Q$1="","",'Balanced Score Card'!T84*Q17)</f>
        <v/>
      </c>
    </row>
    <row r="36" spans="1:17" s="226" customFormat="1" ht="15.75" thickBot="1" x14ac:dyDescent="0.3">
      <c r="A36" s="224" t="s">
        <v>670</v>
      </c>
      <c r="B36" s="233">
        <f>IF(B1="","",SUM(B25:B35)/SUM(B3:B7,B12:B17))</f>
        <v>0.59163129386672575</v>
      </c>
      <c r="C36" s="233">
        <f>IF(C1="","",SUM(C25:C35)/SUM(C3:C7,C12:C17))</f>
        <v>0.77462578084084133</v>
      </c>
      <c r="D36" s="233">
        <f t="shared" ref="D36:Q36" si="5">IF(D1="","",SUM(D25:D35)/SUM(D3:D7,D12:D17))</f>
        <v>0.71146299643787536</v>
      </c>
      <c r="E36" s="233">
        <f t="shared" si="5"/>
        <v>0.67415332867531341</v>
      </c>
      <c r="F36" s="233">
        <f t="shared" si="5"/>
        <v>0.68380229184705821</v>
      </c>
      <c r="G36" s="233">
        <f t="shared" si="5"/>
        <v>0.65621979696481858</v>
      </c>
      <c r="H36" s="233">
        <f t="shared" si="5"/>
        <v>0.65588756882191002</v>
      </c>
      <c r="I36" s="233">
        <f t="shared" si="5"/>
        <v>0.64133703395177222</v>
      </c>
      <c r="J36" s="233">
        <f t="shared" si="5"/>
        <v>0.61014323037316642</v>
      </c>
      <c r="K36" s="233" t="e">
        <f t="shared" si="5"/>
        <v>#VALUE!</v>
      </c>
      <c r="L36" s="233" t="str">
        <f t="shared" si="5"/>
        <v/>
      </c>
      <c r="M36" s="233" t="str">
        <f t="shared" si="5"/>
        <v/>
      </c>
      <c r="N36" s="233" t="str">
        <f t="shared" si="5"/>
        <v/>
      </c>
      <c r="O36" s="233" t="str">
        <f t="shared" si="5"/>
        <v/>
      </c>
      <c r="P36" s="233" t="str">
        <f t="shared" si="5"/>
        <v/>
      </c>
      <c r="Q36" s="233" t="str">
        <f t="shared" si="5"/>
        <v/>
      </c>
    </row>
    <row r="37" spans="1:17" s="226" customFormat="1" ht="15.75" thickBot="1" x14ac:dyDescent="0.3">
      <c r="A37" s="234" t="s">
        <v>58</v>
      </c>
      <c r="B37" s="235">
        <f>IF(B1="","",'Balanced Score Card'!E56)</f>
        <v>0.97</v>
      </c>
      <c r="C37" s="235">
        <f>IF(C1="","",'Balanced Score Card'!F56)</f>
        <v>0.83240000000000003</v>
      </c>
      <c r="D37" s="235">
        <f>IF(D1="","",'Balanced Score Card'!G56)</f>
        <v>0.84799999999999998</v>
      </c>
      <c r="E37" s="235">
        <f>IF(E1="","",'Balanced Score Card'!H56)</f>
        <v>0.85370000000000001</v>
      </c>
      <c r="F37" s="235">
        <f>IF(F1="","",'Balanced Score Card'!I56)</f>
        <v>0.87919999999999998</v>
      </c>
      <c r="G37" s="235">
        <f>IF(G1="","",'Balanced Score Card'!J56)</f>
        <v>0.92669999999999997</v>
      </c>
      <c r="H37" s="235">
        <f>IF(H1="","",'Balanced Score Card'!K56)</f>
        <v>0.96140000000000003</v>
      </c>
      <c r="I37" s="235">
        <f>IF(I1="","",'Balanced Score Card'!L56)</f>
        <v>0.97</v>
      </c>
      <c r="J37" s="235">
        <f>IF(J1="","",'Balanced Score Card'!M56)</f>
        <v>0.97</v>
      </c>
      <c r="K37" s="235">
        <f>IF(K1="","",'Balanced Score Card'!N56)</f>
        <v>0</v>
      </c>
      <c r="L37" s="235" t="str">
        <f>IF(L1="","",'Balanced Score Card'!O56)</f>
        <v/>
      </c>
      <c r="M37" s="235" t="str">
        <f>IF(M1="","",'Balanced Score Card'!P56)</f>
        <v/>
      </c>
      <c r="N37" s="235" t="str">
        <f>IF(N1="","",'Balanced Score Card'!Q56)</f>
        <v/>
      </c>
      <c r="O37" s="235" t="str">
        <f>IF(O1="","",'Balanced Score Card'!R56)</f>
        <v/>
      </c>
      <c r="P37" s="235" t="str">
        <f>IF(P1="","",'Balanced Score Card'!S56)</f>
        <v/>
      </c>
      <c r="Q37" s="235" t="str">
        <f>IF(Q1="","",'Balanced Score Card'!T56)</f>
        <v/>
      </c>
    </row>
    <row r="38" spans="1:17" s="221" customFormat="1" x14ac:dyDescent="0.25">
      <c r="A38" s="219" t="s">
        <v>133</v>
      </c>
      <c r="B38" s="246">
        <f>IF(B2="","",'Management Overview'!E2)</f>
        <v>14433430000</v>
      </c>
      <c r="C38" s="246">
        <f>IF(C2="","",'Management Overview'!F2)</f>
        <v>2973830000</v>
      </c>
      <c r="D38" s="246">
        <f>IF(D2="","",'Management Overview'!G2)</f>
        <v>2633250000</v>
      </c>
      <c r="E38" s="246">
        <f>IF(E2="","",'Management Overview'!H2)</f>
        <v>3043590000</v>
      </c>
      <c r="F38" s="246">
        <f>IF(F2="","",'Management Overview'!I2)</f>
        <v>3896390000</v>
      </c>
      <c r="G38" s="246">
        <f>IF(G2="","",'Management Overview'!J2)</f>
        <v>5618940000</v>
      </c>
      <c r="H38" s="246">
        <f>IF(H2="","",'Management Overview'!K2)</f>
        <v>11420060000</v>
      </c>
      <c r="I38" s="246">
        <f>IF(I2="","",'Management Overview'!L2)</f>
        <v>11364330000</v>
      </c>
      <c r="J38" s="246">
        <f>IF(J2="","",'Management Overview'!M2)</f>
        <v>12137520000</v>
      </c>
      <c r="K38" s="246" t="str">
        <f>IF(K2="","",'Management Overview'!N2)</f>
        <v/>
      </c>
      <c r="L38" s="246" t="str">
        <f>IF(L2="","",'Management Overview'!O2)</f>
        <v/>
      </c>
      <c r="M38" s="246" t="str">
        <f>IF(M2="","",'Management Overview'!P2)</f>
        <v/>
      </c>
      <c r="N38" s="246" t="str">
        <f>IF(N2="","",'Management Overview'!Q2)</f>
        <v/>
      </c>
      <c r="O38" s="246" t="str">
        <f>IF(O2="","",'Management Overview'!R2)</f>
        <v/>
      </c>
      <c r="P38" s="246" t="str">
        <f>IF(P2="","",'Management Overview'!S2)</f>
        <v/>
      </c>
      <c r="Q38" s="246" t="str">
        <f>IF(Q2="","",'Management Overview'!T2)</f>
        <v/>
      </c>
    </row>
    <row r="39" spans="1:17" s="223" customFormat="1" x14ac:dyDescent="0.25">
      <c r="A39" s="222" t="s">
        <v>134</v>
      </c>
      <c r="B39" s="247">
        <f>IF(B3="","",'Management Overview'!E3)</f>
        <v>0</v>
      </c>
      <c r="C39" s="247">
        <f>IF(C3="","",'Management Overview'!F3)</f>
        <v>805000000</v>
      </c>
      <c r="D39" s="247">
        <f>IF(D3="","",'Management Overview'!G3)</f>
        <v>300000000</v>
      </c>
      <c r="E39" s="247">
        <f>IF(E3="","",'Management Overview'!H3)</f>
        <v>219340000</v>
      </c>
      <c r="F39" s="247">
        <f>IF(F3="","",'Management Overview'!I3)</f>
        <v>100000000</v>
      </c>
      <c r="G39" s="247">
        <f>IF(G3="","",'Management Overview'!J3)</f>
        <v>0</v>
      </c>
      <c r="H39" s="247">
        <f>IF(H3="","",'Management Overview'!K3)</f>
        <v>4012630000</v>
      </c>
      <c r="I39" s="247">
        <f>IF(I3="","",'Management Overview'!L3)</f>
        <v>2327560000</v>
      </c>
      <c r="J39" s="247">
        <f>IF(J3="","",'Management Overview'!M3)</f>
        <v>19520000</v>
      </c>
      <c r="K39" s="247">
        <f>IF(K3="","",'Management Overview'!N3)</f>
        <v>0</v>
      </c>
      <c r="L39" s="247" t="str">
        <f>IF(L3="","",'Management Overview'!O3)</f>
        <v/>
      </c>
      <c r="M39" s="247" t="str">
        <f>IF(M3="","",'Management Overview'!P3)</f>
        <v/>
      </c>
      <c r="N39" s="247" t="str">
        <f>IF(N3="","",'Management Overview'!Q3)</f>
        <v/>
      </c>
      <c r="O39" s="247" t="str">
        <f>IF(O3="","",'Management Overview'!R3)</f>
        <v/>
      </c>
      <c r="P39" s="247" t="str">
        <f>IF(P3="","",'Management Overview'!S3)</f>
        <v/>
      </c>
      <c r="Q39" s="247" t="str">
        <f>IF(Q3="","",'Management Overview'!T3)</f>
        <v/>
      </c>
    </row>
    <row r="40" spans="1:17" s="223" customFormat="1" x14ac:dyDescent="0.25">
      <c r="A40" s="222" t="s">
        <v>135</v>
      </c>
      <c r="B40" s="247">
        <f>IF(B4="","",'Management Overview'!E4)</f>
        <v>0</v>
      </c>
      <c r="C40" s="247">
        <f>IF(C4="","",'Management Overview'!F4)</f>
        <v>0</v>
      </c>
      <c r="D40" s="247">
        <f>IF(D4="","",'Management Overview'!G4)</f>
        <v>0</v>
      </c>
      <c r="E40" s="247">
        <f>IF(E4="","",'Management Overview'!H4)</f>
        <v>19340000</v>
      </c>
      <c r="F40" s="247">
        <f>IF(F4="","",'Management Overview'!I4)</f>
        <v>0</v>
      </c>
      <c r="G40" s="247">
        <f>IF(G4="","",'Management Overview'!J4)</f>
        <v>0</v>
      </c>
      <c r="H40" s="247">
        <f>IF(H4="","",'Management Overview'!K4)</f>
        <v>4012630000</v>
      </c>
      <c r="I40" s="247">
        <f>IF(I4="","",'Management Overview'!L4)</f>
        <v>2327560000</v>
      </c>
      <c r="J40" s="247">
        <f>IF(J4="","",'Management Overview'!M4)</f>
        <v>19520000</v>
      </c>
      <c r="K40" s="247" t="str">
        <f>IF(K4="","",'Management Overview'!N4)</f>
        <v/>
      </c>
      <c r="L40" s="247" t="str">
        <f>IF(L4="","",'Management Overview'!O4)</f>
        <v/>
      </c>
      <c r="M40" s="247" t="str">
        <f>IF(M4="","",'Management Overview'!P4)</f>
        <v/>
      </c>
      <c r="N40" s="247" t="str">
        <f>IF(N4="","",'Management Overview'!Q4)</f>
        <v/>
      </c>
      <c r="O40" s="247" t="str">
        <f>IF(O4="","",'Management Overview'!R4)</f>
        <v/>
      </c>
      <c r="P40" s="247" t="str">
        <f>IF(P4="","",'Management Overview'!S4)</f>
        <v/>
      </c>
      <c r="Q40" s="247" t="str">
        <f>IF(Q4="","",'Management Overview'!T4)</f>
        <v/>
      </c>
    </row>
    <row r="41" spans="1:17" s="223" customFormat="1" x14ac:dyDescent="0.25">
      <c r="A41" s="222" t="s">
        <v>136</v>
      </c>
      <c r="B41" s="247">
        <f>IF(B5="","",'Management Overview'!E5)</f>
        <v>0</v>
      </c>
      <c r="C41" s="247">
        <f>IF(C5="","",'Management Overview'!F5)</f>
        <v>277500000</v>
      </c>
      <c r="D41" s="247">
        <f>IF(D5="","",'Management Overview'!G5)</f>
        <v>200000000</v>
      </c>
      <c r="E41" s="247">
        <f>IF(E5="","",'Management Overview'!H5)</f>
        <v>100000000</v>
      </c>
      <c r="F41" s="247">
        <f>IF(F5="","",'Management Overview'!I5)</f>
        <v>100000000</v>
      </c>
      <c r="G41" s="247">
        <f>IF(G5="","",'Management Overview'!J5)</f>
        <v>0</v>
      </c>
      <c r="H41" s="247">
        <f>IF(H5="","",'Management Overview'!K5)</f>
        <v>0</v>
      </c>
      <c r="I41" s="247">
        <f>IF(I5="","",'Management Overview'!L5)</f>
        <v>0</v>
      </c>
      <c r="J41" s="247">
        <f>IF(J5="","",'Management Overview'!M5)</f>
        <v>0</v>
      </c>
      <c r="K41" s="247">
        <f>IF(K5="","",'Management Overview'!N5)</f>
        <v>0</v>
      </c>
      <c r="L41" s="247" t="str">
        <f>IF(L5="","",'Management Overview'!O5)</f>
        <v/>
      </c>
      <c r="M41" s="247" t="str">
        <f>IF(M5="","",'Management Overview'!P5)</f>
        <v/>
      </c>
      <c r="N41" s="247" t="str">
        <f>IF(N5="","",'Management Overview'!Q5)</f>
        <v/>
      </c>
      <c r="O41" s="247" t="str">
        <f>IF(O5="","",'Management Overview'!R5)</f>
        <v/>
      </c>
      <c r="P41" s="247" t="str">
        <f>IF(P5="","",'Management Overview'!S5)</f>
        <v/>
      </c>
      <c r="Q41" s="247" t="str">
        <f>IF(Q5="","",'Management Overview'!T5)</f>
        <v/>
      </c>
    </row>
    <row r="42" spans="1:17" s="223" customFormat="1" x14ac:dyDescent="0.25">
      <c r="A42" s="222" t="s">
        <v>137</v>
      </c>
      <c r="B42" s="247">
        <f>IF(B6="","",'Management Overview'!E6)</f>
        <v>0</v>
      </c>
      <c r="C42" s="247">
        <f>IF(C6="","",'Management Overview'!F6)</f>
        <v>277500000</v>
      </c>
      <c r="D42" s="247">
        <f>IF(D6="","",'Management Overview'!G6)</f>
        <v>0</v>
      </c>
      <c r="E42" s="247">
        <f>IF(E6="","",'Management Overview'!H6)</f>
        <v>0</v>
      </c>
      <c r="F42" s="247">
        <f>IF(F6="","",'Management Overview'!I6)</f>
        <v>0</v>
      </c>
      <c r="G42" s="247">
        <f>IF(G6="","",'Management Overview'!J6)</f>
        <v>0</v>
      </c>
      <c r="H42" s="247">
        <f>IF(H6="","",'Management Overview'!K6)</f>
        <v>0</v>
      </c>
      <c r="I42" s="247">
        <f>IF(I6="","",'Management Overview'!L6)</f>
        <v>0</v>
      </c>
      <c r="J42" s="247">
        <f>IF(J6="","",'Management Overview'!M6)</f>
        <v>0</v>
      </c>
      <c r="K42" s="247" t="str">
        <f>IF(K6="","",'Management Overview'!N6)</f>
        <v/>
      </c>
      <c r="L42" s="247" t="str">
        <f>IF(L6="","",'Management Overview'!O6)</f>
        <v/>
      </c>
      <c r="M42" s="247" t="str">
        <f>IF(M6="","",'Management Overview'!P6)</f>
        <v/>
      </c>
      <c r="N42" s="247" t="str">
        <f>IF(N6="","",'Management Overview'!Q6)</f>
        <v/>
      </c>
      <c r="O42" s="247" t="str">
        <f>IF(O6="","",'Management Overview'!R6)</f>
        <v/>
      </c>
      <c r="P42" s="247" t="str">
        <f>IF(P6="","",'Management Overview'!S6)</f>
        <v/>
      </c>
      <c r="Q42" s="247" t="str">
        <f>IF(Q6="","",'Management Overview'!T6)</f>
        <v/>
      </c>
    </row>
    <row r="43" spans="1:17" s="223" customFormat="1" x14ac:dyDescent="0.25">
      <c r="A43" s="222" t="s">
        <v>138</v>
      </c>
      <c r="B43" s="247">
        <f>IF(B7="","",'Management Overview'!E7)</f>
        <v>0</v>
      </c>
      <c r="C43" s="247">
        <f>IF(C7="","",'Management Overview'!F7)</f>
        <v>250000000</v>
      </c>
      <c r="D43" s="247">
        <f>IF(D7="","",'Management Overview'!G7)</f>
        <v>100000000</v>
      </c>
      <c r="E43" s="247">
        <f>IF(E7="","",'Management Overview'!H7)</f>
        <v>100000000</v>
      </c>
      <c r="F43" s="247">
        <f>IF(F7="","",'Management Overview'!I7)</f>
        <v>0</v>
      </c>
      <c r="G43" s="247">
        <f>IF(G7="","",'Management Overview'!J7)</f>
        <v>0</v>
      </c>
      <c r="H43" s="247">
        <f>IF(H7="","",'Management Overview'!K7)</f>
        <v>0</v>
      </c>
      <c r="I43" s="247">
        <f>IF(I7="","",'Management Overview'!L7)</f>
        <v>0</v>
      </c>
      <c r="J43" s="247">
        <f>IF(J7="","",'Management Overview'!M7)</f>
        <v>0</v>
      </c>
      <c r="K43" s="247">
        <f>IF(K7="","",'Management Overview'!N7)</f>
        <v>0</v>
      </c>
      <c r="L43" s="247" t="str">
        <f>IF(L7="","",'Management Overview'!O7)</f>
        <v/>
      </c>
      <c r="M43" s="247" t="str">
        <f>IF(M7="","",'Management Overview'!P7)</f>
        <v/>
      </c>
      <c r="N43" s="247" t="str">
        <f>IF(N7="","",'Management Overview'!Q7)</f>
        <v/>
      </c>
      <c r="O43" s="247" t="str">
        <f>IF(O7="","",'Management Overview'!R7)</f>
        <v/>
      </c>
      <c r="P43" s="247" t="str">
        <f>IF(P7="","",'Management Overview'!S7)</f>
        <v/>
      </c>
      <c r="Q43" s="247" t="str">
        <f>IF(Q7="","",'Management Overview'!T7)</f>
        <v/>
      </c>
    </row>
    <row r="44" spans="1:17" s="223" customFormat="1" x14ac:dyDescent="0.25">
      <c r="A44" s="222" t="s">
        <v>139</v>
      </c>
      <c r="B44" s="247">
        <f>IF(B8="","",'Management Overview'!E8)</f>
        <v>14433430000</v>
      </c>
      <c r="C44" s="247">
        <f>IF(C8="","",'Management Overview'!F8)</f>
        <v>2168830000</v>
      </c>
      <c r="D44" s="247">
        <f>IF(D8="","",'Management Overview'!G8)</f>
        <v>2333250000</v>
      </c>
      <c r="E44" s="247">
        <f>IF(E8="","",'Management Overview'!H8)</f>
        <v>2824240000</v>
      </c>
      <c r="F44" s="247">
        <f>IF(F8="","",'Management Overview'!I8)</f>
        <v>3796390000</v>
      </c>
      <c r="G44" s="247">
        <f>IF(G8="","",'Management Overview'!J8)</f>
        <v>5618940000</v>
      </c>
      <c r="H44" s="247">
        <f>IF(H8="","",'Management Overview'!K8)</f>
        <v>7407430000</v>
      </c>
      <c r="I44" s="247">
        <f>IF(I8="","",'Management Overview'!L8)</f>
        <v>9036770000</v>
      </c>
      <c r="J44" s="247">
        <f>IF(J8="","",'Management Overview'!M8)</f>
        <v>12118000000</v>
      </c>
      <c r="K44" s="247" t="str">
        <f>IF(K8="","",'Management Overview'!N8)</f>
        <v/>
      </c>
      <c r="L44" s="247" t="str">
        <f>IF(L8="","",'Management Overview'!O8)</f>
        <v/>
      </c>
      <c r="M44" s="247" t="str">
        <f>IF(M8="","",'Management Overview'!P8)</f>
        <v/>
      </c>
      <c r="N44" s="247" t="str">
        <f>IF(N8="","",'Management Overview'!Q8)</f>
        <v/>
      </c>
      <c r="O44" s="247" t="str">
        <f>IF(O8="","",'Management Overview'!R8)</f>
        <v/>
      </c>
      <c r="P44" s="247" t="str">
        <f>IF(P8="","",'Management Overview'!S8)</f>
        <v/>
      </c>
      <c r="Q44" s="247" t="str">
        <f>IF(Q8="","",'Management Overview'!T8)</f>
        <v/>
      </c>
    </row>
    <row r="45" spans="1:17" s="223" customFormat="1" x14ac:dyDescent="0.25">
      <c r="A45" s="222" t="s">
        <v>140</v>
      </c>
      <c r="B45" s="247">
        <f>IF(B9="","",'Management Overview'!E9)</f>
        <v>0</v>
      </c>
      <c r="C45" s="247">
        <f>IF(C9="","",'Management Overview'!F9)</f>
        <v>360000000</v>
      </c>
      <c r="D45" s="247">
        <f>IF(D9="","",'Management Overview'!G9)</f>
        <v>0</v>
      </c>
      <c r="E45" s="247">
        <f>IF(E9="","",'Management Overview'!H9)</f>
        <v>0</v>
      </c>
      <c r="F45" s="247">
        <f>IF(F9="","",'Management Overview'!I9)</f>
        <v>0</v>
      </c>
      <c r="G45" s="247">
        <f>IF(G9="","",'Management Overview'!J9)</f>
        <v>0</v>
      </c>
      <c r="H45" s="247">
        <f>IF(H9="","",'Management Overview'!K9)</f>
        <v>0</v>
      </c>
      <c r="I45" s="247">
        <f>IF(I9="","",'Management Overview'!L9)</f>
        <v>0</v>
      </c>
      <c r="J45" s="247">
        <f>IF(J9="","",'Management Overview'!M9)</f>
        <v>0</v>
      </c>
      <c r="K45" s="247">
        <f>IF(K9="","",'Management Overview'!N9)</f>
        <v>0</v>
      </c>
      <c r="L45" s="247" t="str">
        <f>IF(L9="","",'Management Overview'!O9)</f>
        <v/>
      </c>
      <c r="M45" s="247" t="str">
        <f>IF(M9="","",'Management Overview'!P9)</f>
        <v/>
      </c>
      <c r="N45" s="247" t="str">
        <f>IF(N9="","",'Management Overview'!Q9)</f>
        <v/>
      </c>
      <c r="O45" s="247" t="str">
        <f>IF(O9="","",'Management Overview'!R9)</f>
        <v/>
      </c>
      <c r="P45" s="247" t="str">
        <f>IF(P9="","",'Management Overview'!S9)</f>
        <v/>
      </c>
      <c r="Q45" s="247" t="str">
        <f>IF(Q9="","",'Management Overview'!T9)</f>
        <v/>
      </c>
    </row>
    <row r="46" spans="1:17" s="223" customFormat="1" x14ac:dyDescent="0.25">
      <c r="A46" s="222" t="s">
        <v>141</v>
      </c>
      <c r="B46" s="247">
        <f>IF(B10="","",'Management Overview'!E10)</f>
        <v>14433430000</v>
      </c>
      <c r="C46" s="247">
        <f>IF(C10="","",'Management Overview'!F10)</f>
        <v>1808830000</v>
      </c>
      <c r="D46" s="247">
        <f>IF(D10="","",'Management Overview'!G10)</f>
        <v>2333250000</v>
      </c>
      <c r="E46" s="247">
        <f>IF(E10="","",'Management Overview'!H10)</f>
        <v>2824240000</v>
      </c>
      <c r="F46" s="247">
        <f>IF(F10="","",'Management Overview'!I10)</f>
        <v>3796390000</v>
      </c>
      <c r="G46" s="247">
        <f>IF(G10="","",'Management Overview'!J10)</f>
        <v>5618940000</v>
      </c>
      <c r="H46" s="247">
        <f>IF(H10="","",'Management Overview'!K10)</f>
        <v>7407430000</v>
      </c>
      <c r="I46" s="247">
        <f>IF(I10="","",'Management Overview'!L10)</f>
        <v>9036770000</v>
      </c>
      <c r="J46" s="247">
        <f>IF(J10="","",'Management Overview'!M10)</f>
        <v>12118000000</v>
      </c>
      <c r="K46" s="247" t="str">
        <f>IF(K10="","",'Management Overview'!N10)</f>
        <v/>
      </c>
      <c r="L46" s="247" t="str">
        <f>IF(L10="","",'Management Overview'!O10)</f>
        <v/>
      </c>
      <c r="M46" s="247" t="str">
        <f>IF(M10="","",'Management Overview'!P10)</f>
        <v/>
      </c>
      <c r="N46" s="247" t="str">
        <f>IF(N10="","",'Management Overview'!Q10)</f>
        <v/>
      </c>
      <c r="O46" s="247" t="str">
        <f>IF(O10="","",'Management Overview'!R10)</f>
        <v/>
      </c>
      <c r="P46" s="247" t="str">
        <f>IF(P10="","",'Management Overview'!S10)</f>
        <v/>
      </c>
      <c r="Q46" s="247" t="str">
        <f>IF(Q10="","",'Management Overview'!T10)</f>
        <v/>
      </c>
    </row>
    <row r="47" spans="1:17" s="223" customFormat="1" x14ac:dyDescent="0.25">
      <c r="A47" s="222" t="s">
        <v>142</v>
      </c>
      <c r="B47" s="247">
        <f>IF(B11="","",'Management Overview'!E11)</f>
        <v>12010000</v>
      </c>
      <c r="C47" s="247">
        <f>IF(C11="","",'Management Overview'!F11)</f>
        <v>11320000</v>
      </c>
      <c r="D47" s="247">
        <f>IF(D11="","",'Management Overview'!G11)</f>
        <v>11360000</v>
      </c>
      <c r="E47" s="247">
        <f>IF(E11="","",'Management Overview'!H11)</f>
        <v>10250000</v>
      </c>
      <c r="F47" s="247">
        <f>IF(F11="","",'Management Overview'!I11)</f>
        <v>11540000</v>
      </c>
      <c r="G47" s="247">
        <f>IF(G11="","",'Management Overview'!J11)</f>
        <v>11000000</v>
      </c>
      <c r="H47" s="247">
        <f>IF(H11="","",'Management Overview'!K11)</f>
        <v>10710000</v>
      </c>
      <c r="I47" s="247">
        <f>IF(I11="","",'Management Overview'!L11)</f>
        <v>12970000</v>
      </c>
      <c r="J47" s="247">
        <f>IF(J11="","",'Management Overview'!M11)</f>
        <v>13140000</v>
      </c>
      <c r="K47" s="247">
        <f>IF(K11="","",'Management Overview'!N11)</f>
        <v>0</v>
      </c>
      <c r="L47" s="247" t="str">
        <f>IF(L11="","",'Management Overview'!O11)</f>
        <v/>
      </c>
      <c r="M47" s="247" t="str">
        <f>IF(M11="","",'Management Overview'!P11)</f>
        <v/>
      </c>
      <c r="N47" s="247" t="str">
        <f>IF(N11="","",'Management Overview'!Q11)</f>
        <v/>
      </c>
      <c r="O47" s="247" t="str">
        <f>IF(O11="","",'Management Overview'!R11)</f>
        <v/>
      </c>
      <c r="P47" s="247" t="str">
        <f>IF(P11="","",'Management Overview'!S11)</f>
        <v/>
      </c>
      <c r="Q47" s="247" t="str">
        <f>IF(Q11="","",'Management Overview'!T11)</f>
        <v/>
      </c>
    </row>
    <row r="48" spans="1:17" s="223" customFormat="1" x14ac:dyDescent="0.25">
      <c r="A48" s="222" t="s">
        <v>143</v>
      </c>
      <c r="B48" s="247">
        <f>IF(B12="","",'Management Overview'!E12)</f>
        <v>12010000</v>
      </c>
      <c r="C48" s="247">
        <f>IF(C12="","",'Management Overview'!F12)</f>
        <v>11320000</v>
      </c>
      <c r="D48" s="247">
        <f>IF(D12="","",'Management Overview'!G12)</f>
        <v>11360000</v>
      </c>
      <c r="E48" s="247">
        <f>IF(E12="","",'Management Overview'!H12)</f>
        <v>10250000</v>
      </c>
      <c r="F48" s="247">
        <f>IF(F12="","",'Management Overview'!I12)</f>
        <v>11540000</v>
      </c>
      <c r="G48" s="247">
        <f>IF(G12="","",'Management Overview'!J12)</f>
        <v>11000000</v>
      </c>
      <c r="H48" s="247">
        <f>IF(H12="","",'Management Overview'!K12)</f>
        <v>10710000</v>
      </c>
      <c r="I48" s="247">
        <f>IF(I12="","",'Management Overview'!L12)</f>
        <v>12970000</v>
      </c>
      <c r="J48" s="247">
        <f>IF(J12="","",'Management Overview'!M12)</f>
        <v>13140000</v>
      </c>
      <c r="K48" s="247" t="str">
        <f>IF(K12="","",'Management Overview'!N12)</f>
        <v/>
      </c>
      <c r="L48" s="247" t="str">
        <f>IF(L12="","",'Management Overview'!O12)</f>
        <v/>
      </c>
      <c r="M48" s="247" t="str">
        <f>IF(M12="","",'Management Overview'!P12)</f>
        <v/>
      </c>
      <c r="N48" s="247" t="str">
        <f>IF(N12="","",'Management Overview'!Q12)</f>
        <v/>
      </c>
      <c r="O48" s="247" t="str">
        <f>IF(O12="","",'Management Overview'!R12)</f>
        <v/>
      </c>
      <c r="P48" s="247" t="str">
        <f>IF(P12="","",'Management Overview'!S12)</f>
        <v/>
      </c>
      <c r="Q48" s="247" t="str">
        <f>IF(Q12="","",'Management Overview'!T12)</f>
        <v/>
      </c>
    </row>
    <row r="49" spans="1:17" s="226" customFormat="1" ht="15.75" thickBot="1" x14ac:dyDescent="0.3">
      <c r="A49" s="224" t="s">
        <v>144</v>
      </c>
      <c r="B49" s="248">
        <f>IF(B13="","",'Management Overview'!E13)</f>
        <v>14445440000</v>
      </c>
      <c r="C49" s="248">
        <f>IF(C13="","",'Management Overview'!F13)</f>
        <v>2985150000</v>
      </c>
      <c r="D49" s="248">
        <f>IF(D13="","",'Management Overview'!G13)</f>
        <v>2644610000</v>
      </c>
      <c r="E49" s="248">
        <f>IF(E13="","",'Management Overview'!H13)</f>
        <v>3053840000</v>
      </c>
      <c r="F49" s="248">
        <f>IF(F13="","",'Management Overview'!I13)</f>
        <v>3907930000</v>
      </c>
      <c r="G49" s="248">
        <f>IF(G13="","",'Management Overview'!J13)</f>
        <v>5629940000</v>
      </c>
      <c r="H49" s="248">
        <f>IF(H13="","",'Management Overview'!K13)</f>
        <v>11430770000</v>
      </c>
      <c r="I49" s="248">
        <f>IF(I13="","",'Management Overview'!L13)</f>
        <v>11377300000</v>
      </c>
      <c r="J49" s="248">
        <f>IF(J13="","",'Management Overview'!M13)</f>
        <v>12150660000</v>
      </c>
      <c r="K49" s="248">
        <f>IF(K13="","",'Management Overview'!N13)</f>
        <v>0</v>
      </c>
      <c r="L49" s="248" t="str">
        <f>IF(L13="","",'Management Overview'!O13)</f>
        <v/>
      </c>
      <c r="M49" s="248" t="str">
        <f>IF(M13="","",'Management Overview'!P13)</f>
        <v/>
      </c>
      <c r="N49" s="248" t="str">
        <f>IF(N13="","",'Management Overview'!Q13)</f>
        <v/>
      </c>
      <c r="O49" s="248" t="str">
        <f>IF(O13="","",'Management Overview'!R13)</f>
        <v/>
      </c>
      <c r="P49" s="248" t="str">
        <f>IF(P13="","",'Management Overview'!S13)</f>
        <v/>
      </c>
      <c r="Q49" s="248" t="str">
        <f>IF(Q13="","",'Management Overview'!T13)</f>
        <v/>
      </c>
    </row>
    <row r="50" spans="1:17" s="221" customFormat="1" x14ac:dyDescent="0.25">
      <c r="A50" s="219" t="s">
        <v>145</v>
      </c>
      <c r="B50" s="246">
        <f>IF(B14="","",'Management Overview'!E14)</f>
        <v>13439990000</v>
      </c>
      <c r="C50" s="246">
        <f>IF(C14="","",'Management Overview'!F14)</f>
        <v>2772480000</v>
      </c>
      <c r="D50" s="246">
        <f>IF(D14="","",'Management Overview'!G14)</f>
        <v>2431350000</v>
      </c>
      <c r="E50" s="246">
        <f>IF(E14="","",'Management Overview'!H14)</f>
        <v>2823510000</v>
      </c>
      <c r="F50" s="246">
        <f>IF(F14="","",'Management Overview'!I14)</f>
        <v>3645920000</v>
      </c>
      <c r="G50" s="246">
        <f>IF(G14="","",'Management Overview'!J14)</f>
        <v>5295680000</v>
      </c>
      <c r="H50" s="246">
        <f>IF(H14="","",'Management Overview'!K14)</f>
        <v>11055620000</v>
      </c>
      <c r="I50" s="246">
        <f>IF(I14="","",'Management Overview'!L14)</f>
        <v>10911660000</v>
      </c>
      <c r="J50" s="246">
        <f>IF(J14="","",'Management Overview'!M14)</f>
        <v>11447530000</v>
      </c>
      <c r="K50" s="246" t="str">
        <f>IF(K14="","",'Management Overview'!N14)</f>
        <v/>
      </c>
      <c r="L50" s="246" t="str">
        <f>IF(L14="","",'Management Overview'!O14)</f>
        <v/>
      </c>
      <c r="M50" s="246" t="str">
        <f>IF(M14="","",'Management Overview'!P14)</f>
        <v/>
      </c>
      <c r="N50" s="246" t="str">
        <f>IF(N14="","",'Management Overview'!Q14)</f>
        <v/>
      </c>
      <c r="O50" s="246" t="str">
        <f>IF(O14="","",'Management Overview'!R14)</f>
        <v/>
      </c>
      <c r="P50" s="246" t="str">
        <f>IF(P14="","",'Management Overview'!S14)</f>
        <v/>
      </c>
      <c r="Q50" s="246" t="str">
        <f>IF(Q14="","",'Management Overview'!T14)</f>
        <v/>
      </c>
    </row>
    <row r="51" spans="1:17" s="223" customFormat="1" x14ac:dyDescent="0.25">
      <c r="A51" s="222" t="s">
        <v>146</v>
      </c>
      <c r="B51" s="247">
        <f>IF(B15="","",'Management Overview'!E15)</f>
        <v>4762770000</v>
      </c>
      <c r="C51" s="247">
        <f>IF(C15="","",'Management Overview'!F15)</f>
        <v>1299550000</v>
      </c>
      <c r="D51" s="247">
        <f>IF(D15="","",'Management Overview'!G15)</f>
        <v>1136990000</v>
      </c>
      <c r="E51" s="247">
        <f>IF(E15="","",'Management Overview'!H15)</f>
        <v>1200000000</v>
      </c>
      <c r="F51" s="247">
        <f>IF(F15="","",'Management Overview'!I15)</f>
        <v>2023130000</v>
      </c>
      <c r="G51" s="247">
        <f>IF(G15="","",'Management Overview'!J15)</f>
        <v>3119560000</v>
      </c>
      <c r="H51" s="247">
        <f>IF(H15="","",'Management Overview'!K15)</f>
        <v>7750000000</v>
      </c>
      <c r="I51" s="247">
        <f>IF(I15="","",'Management Overview'!L15)</f>
        <v>5300000000</v>
      </c>
      <c r="J51" s="247">
        <f>IF(J15="","",'Management Overview'!M15)</f>
        <v>3000000000</v>
      </c>
      <c r="K51" s="247">
        <f>IF(K15="","",'Management Overview'!N15)</f>
        <v>0</v>
      </c>
      <c r="L51" s="247" t="str">
        <f>IF(L15="","",'Management Overview'!O15)</f>
        <v/>
      </c>
      <c r="M51" s="247" t="str">
        <f>IF(M15="","",'Management Overview'!P15)</f>
        <v/>
      </c>
      <c r="N51" s="247" t="str">
        <f>IF(N15="","",'Management Overview'!Q15)</f>
        <v/>
      </c>
      <c r="O51" s="247" t="str">
        <f>IF(O15="","",'Management Overview'!R15)</f>
        <v/>
      </c>
      <c r="P51" s="247" t="str">
        <f>IF(P15="","",'Management Overview'!S15)</f>
        <v/>
      </c>
      <c r="Q51" s="247" t="str">
        <f>IF(Q15="","",'Management Overview'!T15)</f>
        <v/>
      </c>
    </row>
    <row r="52" spans="1:17" s="223" customFormat="1" x14ac:dyDescent="0.25">
      <c r="A52" s="222" t="s">
        <v>147</v>
      </c>
      <c r="B52" s="247">
        <f>IF(B16="","",'Management Overview'!E16)</f>
        <v>2262770000</v>
      </c>
      <c r="C52" s="247">
        <f>IF(C16="","",'Management Overview'!F16)</f>
        <v>769550000</v>
      </c>
      <c r="D52" s="247">
        <f>IF(D16="","",'Management Overview'!G16)</f>
        <v>436990000</v>
      </c>
      <c r="E52" s="247">
        <f>IF(E16="","",'Management Overview'!H16)</f>
        <v>0</v>
      </c>
      <c r="F52" s="247">
        <f>IF(F16="","",'Management Overview'!I16)</f>
        <v>23130000</v>
      </c>
      <c r="G52" s="247">
        <f>IF(G16="","",'Management Overview'!J16)</f>
        <v>319560000</v>
      </c>
      <c r="H52" s="247">
        <f>IF(H16="","",'Management Overview'!K16)</f>
        <v>0</v>
      </c>
      <c r="I52" s="247">
        <f>IF(I16="","",'Management Overview'!L16)</f>
        <v>0</v>
      </c>
      <c r="J52" s="247">
        <f>IF(J16="","",'Management Overview'!M16)</f>
        <v>0</v>
      </c>
      <c r="K52" s="247" t="str">
        <f>IF(K16="","",'Management Overview'!N16)</f>
        <v/>
      </c>
      <c r="L52" s="247" t="str">
        <f>IF(L16="","",'Management Overview'!O16)</f>
        <v/>
      </c>
      <c r="M52" s="247" t="str">
        <f>IF(M16="","",'Management Overview'!P16)</f>
        <v/>
      </c>
      <c r="N52" s="247" t="str">
        <f>IF(N16="","",'Management Overview'!Q16)</f>
        <v/>
      </c>
      <c r="O52" s="247" t="str">
        <f>IF(O16="","",'Management Overview'!R16)</f>
        <v/>
      </c>
      <c r="P52" s="247" t="str">
        <f>IF(P16="","",'Management Overview'!S16)</f>
        <v/>
      </c>
      <c r="Q52" s="247" t="str">
        <f>IF(Q16="","",'Management Overview'!T16)</f>
        <v/>
      </c>
    </row>
    <row r="53" spans="1:17" s="223" customFormat="1" x14ac:dyDescent="0.25">
      <c r="A53" s="222" t="s">
        <v>148</v>
      </c>
      <c r="B53" s="247">
        <f>IF(B17="","",'Management Overview'!E17)</f>
        <v>2500000000</v>
      </c>
      <c r="C53" s="247">
        <f>IF(C17="","",'Management Overview'!F17)</f>
        <v>530000000</v>
      </c>
      <c r="D53" s="247">
        <f>IF(D17="","",'Management Overview'!G17)</f>
        <v>700000000</v>
      </c>
      <c r="E53" s="247">
        <f>IF(E17="","",'Management Overview'!H17)</f>
        <v>1200000000</v>
      </c>
      <c r="F53" s="247">
        <f>IF(F17="","",'Management Overview'!I17)</f>
        <v>2000000000</v>
      </c>
      <c r="G53" s="247">
        <f>IF(G17="","",'Management Overview'!J17)</f>
        <v>2800000000</v>
      </c>
      <c r="H53" s="247">
        <f>IF(H17="","",'Management Overview'!K17)</f>
        <v>7750000000</v>
      </c>
      <c r="I53" s="247">
        <f>IF(I17="","",'Management Overview'!L17)</f>
        <v>5300000000</v>
      </c>
      <c r="J53" s="247">
        <f>IF(J17="","",'Management Overview'!M17)</f>
        <v>3000000000</v>
      </c>
      <c r="K53" s="247">
        <f>IF(K17="","",'Management Overview'!N17)</f>
        <v>0</v>
      </c>
      <c r="L53" s="247" t="str">
        <f>IF(L17="","",'Management Overview'!O17)</f>
        <v/>
      </c>
      <c r="M53" s="247" t="str">
        <f>IF(M17="","",'Management Overview'!P17)</f>
        <v/>
      </c>
      <c r="N53" s="247" t="str">
        <f>IF(N17="","",'Management Overview'!Q17)</f>
        <v/>
      </c>
      <c r="O53" s="247" t="str">
        <f>IF(O17="","",'Management Overview'!R17)</f>
        <v/>
      </c>
      <c r="P53" s="247" t="str">
        <f>IF(P17="","",'Management Overview'!S17)</f>
        <v/>
      </c>
      <c r="Q53" s="247" t="str">
        <f>IF(Q17="","",'Management Overview'!T17)</f>
        <v/>
      </c>
    </row>
    <row r="54" spans="1:17" s="223" customFormat="1" x14ac:dyDescent="0.25">
      <c r="A54" s="222" t="s">
        <v>149</v>
      </c>
      <c r="B54" s="247">
        <f>IF(B18="","",'Management Overview'!E18)</f>
        <v>8677220000</v>
      </c>
      <c r="C54" s="247">
        <f>IF(C18="","",'Management Overview'!F18)</f>
        <v>1472930000</v>
      </c>
      <c r="D54" s="247">
        <f>IF(D18="","",'Management Overview'!G18)</f>
        <v>1294360000</v>
      </c>
      <c r="E54" s="247">
        <f>IF(E18="","",'Management Overview'!H18)</f>
        <v>1623510000</v>
      </c>
      <c r="F54" s="247">
        <f>IF(F18="","",'Management Overview'!I18)</f>
        <v>1622790000</v>
      </c>
      <c r="G54" s="247">
        <f>IF(G18="","",'Management Overview'!J18)</f>
        <v>2176120000</v>
      </c>
      <c r="H54" s="247">
        <f>IF(H18="","",'Management Overview'!K18)</f>
        <v>3305620000</v>
      </c>
      <c r="I54" s="247">
        <f>IF(I18="","",'Management Overview'!L18)</f>
        <v>5611660000</v>
      </c>
      <c r="J54" s="247">
        <f>IF(J18="","",'Management Overview'!M18)</f>
        <v>8447530000.000001</v>
      </c>
      <c r="K54" s="247" t="str">
        <f>IF(K18="","",'Management Overview'!N18)</f>
        <v/>
      </c>
      <c r="L54" s="247" t="str">
        <f>IF(L18="","",'Management Overview'!O18)</f>
        <v/>
      </c>
      <c r="M54" s="247" t="str">
        <f>IF(M18="","",'Management Overview'!P18)</f>
        <v/>
      </c>
      <c r="N54" s="247" t="str">
        <f>IF(N18="","",'Management Overview'!Q18)</f>
        <v/>
      </c>
      <c r="O54" s="247" t="str">
        <f>IF(O18="","",'Management Overview'!R18)</f>
        <v/>
      </c>
      <c r="P54" s="247" t="str">
        <f>IF(P18="","",'Management Overview'!S18)</f>
        <v/>
      </c>
      <c r="Q54" s="247" t="str">
        <f>IF(Q18="","",'Management Overview'!T18)</f>
        <v/>
      </c>
    </row>
    <row r="55" spans="1:17" s="223" customFormat="1" x14ac:dyDescent="0.25">
      <c r="A55" s="222" t="s">
        <v>150</v>
      </c>
      <c r="B55" s="247">
        <f>IF(B19="","",'Management Overview'!E19)</f>
        <v>0</v>
      </c>
      <c r="C55" s="247">
        <f>IF(C19="","",'Management Overview'!F19)</f>
        <v>403000000</v>
      </c>
      <c r="D55" s="247">
        <f>IF(D19="","",'Management Overview'!G19)</f>
        <v>403000000</v>
      </c>
      <c r="E55" s="247">
        <f>IF(E19="","",'Management Overview'!H19)</f>
        <v>800000000</v>
      </c>
      <c r="F55" s="247">
        <f>IF(F19="","",'Management Overview'!I19)</f>
        <v>500000000</v>
      </c>
      <c r="G55" s="247">
        <f>IF(G19="","",'Management Overview'!J19)</f>
        <v>550000000</v>
      </c>
      <c r="H55" s="247">
        <f>IF(H19="","",'Management Overview'!K19)</f>
        <v>700000000</v>
      </c>
      <c r="I55" s="247">
        <f>IF(I19="","",'Management Overview'!L19)</f>
        <v>1000000000</v>
      </c>
      <c r="J55" s="247">
        <f>IF(J19="","",'Management Overview'!M19)</f>
        <v>500000000</v>
      </c>
      <c r="K55" s="247">
        <f>IF(K19="","",'Management Overview'!N19)</f>
        <v>0</v>
      </c>
      <c r="L55" s="247" t="str">
        <f>IF(L19="","",'Management Overview'!O19)</f>
        <v/>
      </c>
      <c r="M55" s="247" t="str">
        <f>IF(M19="","",'Management Overview'!P19)</f>
        <v/>
      </c>
      <c r="N55" s="247" t="str">
        <f>IF(N19="","",'Management Overview'!Q19)</f>
        <v/>
      </c>
      <c r="O55" s="247" t="str">
        <f>IF(O19="","",'Management Overview'!R19)</f>
        <v/>
      </c>
      <c r="P55" s="247" t="str">
        <f>IF(P19="","",'Management Overview'!S19)</f>
        <v/>
      </c>
      <c r="Q55" s="247" t="str">
        <f>IF(Q19="","",'Management Overview'!T19)</f>
        <v/>
      </c>
    </row>
    <row r="56" spans="1:17" s="223" customFormat="1" x14ac:dyDescent="0.25">
      <c r="A56" s="222" t="s">
        <v>151</v>
      </c>
      <c r="B56" s="247">
        <f>IF(B20="","",'Management Overview'!E20)</f>
        <v>8677220000</v>
      </c>
      <c r="C56" s="247">
        <f>IF(C20="","",'Management Overview'!F20)</f>
        <v>1069930000.0000001</v>
      </c>
      <c r="D56" s="247">
        <f>IF(D20="","",'Management Overview'!G20)</f>
        <v>891360000</v>
      </c>
      <c r="E56" s="247">
        <f>IF(E20="","",'Management Overview'!H20)</f>
        <v>823510000</v>
      </c>
      <c r="F56" s="247">
        <f>IF(F20="","",'Management Overview'!I20)</f>
        <v>1122790000</v>
      </c>
      <c r="G56" s="247">
        <f>IF(G20="","",'Management Overview'!J20)</f>
        <v>1626120000</v>
      </c>
      <c r="H56" s="247">
        <f>IF(H20="","",'Management Overview'!K20)</f>
        <v>2605620000</v>
      </c>
      <c r="I56" s="247">
        <f>IF(I20="","",'Management Overview'!L20)</f>
        <v>4611660000</v>
      </c>
      <c r="J56" s="247">
        <f>IF(J20="","",'Management Overview'!M20)</f>
        <v>7947530000</v>
      </c>
      <c r="K56" s="247" t="str">
        <f>IF(K20="","",'Management Overview'!N20)</f>
        <v/>
      </c>
      <c r="L56" s="247" t="str">
        <f>IF(L20="","",'Management Overview'!O20)</f>
        <v/>
      </c>
      <c r="M56" s="247" t="str">
        <f>IF(M20="","",'Management Overview'!P20)</f>
        <v/>
      </c>
      <c r="N56" s="247" t="str">
        <f>IF(N20="","",'Management Overview'!Q20)</f>
        <v/>
      </c>
      <c r="O56" s="247" t="str">
        <f>IF(O20="","",'Management Overview'!R20)</f>
        <v/>
      </c>
      <c r="P56" s="247" t="str">
        <f>IF(P20="","",'Management Overview'!S20)</f>
        <v/>
      </c>
      <c r="Q56" s="247" t="str">
        <f>IF(Q20="","",'Management Overview'!T20)</f>
        <v/>
      </c>
    </row>
    <row r="57" spans="1:17" s="223" customFormat="1" x14ac:dyDescent="0.25">
      <c r="A57" s="222" t="s">
        <v>152</v>
      </c>
      <c r="B57" s="247">
        <f>IF(B21="","",'Management Overview'!E21)</f>
        <v>1005440000</v>
      </c>
      <c r="C57" s="247">
        <f>IF(C21="","",'Management Overview'!F21)</f>
        <v>212670000</v>
      </c>
      <c r="D57" s="247">
        <f>IF(D21="","",'Management Overview'!G21)</f>
        <v>213260000</v>
      </c>
      <c r="E57" s="247">
        <f>IF(E21="","",'Management Overview'!H21)</f>
        <v>230330000</v>
      </c>
      <c r="F57" s="247">
        <f>IF(F21="","",'Management Overview'!I21)</f>
        <v>262010000</v>
      </c>
      <c r="G57" s="247">
        <f>IF(G21="","",'Management Overview'!J21)</f>
        <v>334260000</v>
      </c>
      <c r="H57" s="247">
        <f>IF(H21="","",'Management Overview'!K21)</f>
        <v>375150000</v>
      </c>
      <c r="I57" s="247">
        <f>IF(I21="","",'Management Overview'!L21)</f>
        <v>465650000</v>
      </c>
      <c r="J57" s="247">
        <f>IF(J21="","",'Management Overview'!M21)</f>
        <v>703130000</v>
      </c>
      <c r="K57" s="247">
        <f>IF(K21="","",'Management Overview'!N21)</f>
        <v>0</v>
      </c>
      <c r="L57" s="247" t="str">
        <f>IF(L21="","",'Management Overview'!O21)</f>
        <v/>
      </c>
      <c r="M57" s="247" t="str">
        <f>IF(M21="","",'Management Overview'!P21)</f>
        <v/>
      </c>
      <c r="N57" s="247" t="str">
        <f>IF(N21="","",'Management Overview'!Q21)</f>
        <v/>
      </c>
      <c r="O57" s="247" t="str">
        <f>IF(O21="","",'Management Overview'!R21)</f>
        <v/>
      </c>
      <c r="P57" s="247" t="str">
        <f>IF(P21="","",'Management Overview'!S21)</f>
        <v/>
      </c>
      <c r="Q57" s="247" t="str">
        <f>IF(Q21="","",'Management Overview'!T21)</f>
        <v/>
      </c>
    </row>
    <row r="58" spans="1:17" s="223" customFormat="1" x14ac:dyDescent="0.25">
      <c r="A58" s="222" t="s">
        <v>153</v>
      </c>
      <c r="B58" s="247">
        <f>IF(B22="","",'Management Overview'!E22)</f>
        <v>85000000</v>
      </c>
      <c r="C58" s="247">
        <f>IF(C22="","",'Management Overview'!F22)</f>
        <v>85000000</v>
      </c>
      <c r="D58" s="247">
        <f>IF(D22="","",'Management Overview'!G22)</f>
        <v>85000000</v>
      </c>
      <c r="E58" s="247">
        <f>IF(E22="","",'Management Overview'!H22)</f>
        <v>85000000</v>
      </c>
      <c r="F58" s="247">
        <f>IF(F22="","",'Management Overview'!I22)</f>
        <v>85000000</v>
      </c>
      <c r="G58" s="247">
        <f>IF(G22="","",'Management Overview'!J22)</f>
        <v>85000000</v>
      </c>
      <c r="H58" s="247">
        <f>IF(H22="","",'Management Overview'!K22)</f>
        <v>85000000</v>
      </c>
      <c r="I58" s="247">
        <f>IF(I22="","",'Management Overview'!L22)</f>
        <v>85000000</v>
      </c>
      <c r="J58" s="247">
        <f>IF(J22="","",'Management Overview'!M22)</f>
        <v>85000000</v>
      </c>
      <c r="K58" s="247">
        <f>IF(K22="","",'Management Overview'!N22)</f>
        <v>0</v>
      </c>
      <c r="L58" s="247" t="str">
        <f>IF(L22="","",'Management Overview'!O22)</f>
        <v/>
      </c>
      <c r="M58" s="247" t="str">
        <f>IF(M22="","",'Management Overview'!P22)</f>
        <v/>
      </c>
      <c r="N58" s="247" t="str">
        <f>IF(N22="","",'Management Overview'!Q22)</f>
        <v/>
      </c>
      <c r="O58" s="247" t="str">
        <f>IF(O22="","",'Management Overview'!R22)</f>
        <v/>
      </c>
      <c r="P58" s="247" t="str">
        <f>IF(P22="","",'Management Overview'!S22)</f>
        <v/>
      </c>
      <c r="Q58" s="247" t="str">
        <f>IF(Q22="","",'Management Overview'!T22)</f>
        <v/>
      </c>
    </row>
    <row r="59" spans="1:17" s="223" customFormat="1" x14ac:dyDescent="0.25">
      <c r="A59" s="222" t="s">
        <v>154</v>
      </c>
      <c r="B59" s="247">
        <f>IF(B23="","",'Management Overview'!E23)</f>
        <v>741440000</v>
      </c>
      <c r="C59" s="247">
        <f>IF(C23="","",'Management Overview'!F23)</f>
        <v>89820000</v>
      </c>
      <c r="D59" s="247">
        <f>IF(D23="","",'Management Overview'!G23)</f>
        <v>89740000</v>
      </c>
      <c r="E59" s="247">
        <f>IF(E23="","",'Management Overview'!H23)</f>
        <v>99540000</v>
      </c>
      <c r="F59" s="247">
        <f>IF(F23="","",'Management Overview'!I23)</f>
        <v>118420000</v>
      </c>
      <c r="G59" s="247">
        <f>IF(G23="","",'Management Overview'!J23)</f>
        <v>167280000</v>
      </c>
      <c r="H59" s="247">
        <f>IF(H23="","",'Management Overview'!K23)</f>
        <v>190110000</v>
      </c>
      <c r="I59" s="247">
        <f>IF(I23="","",'Management Overview'!L23)</f>
        <v>268960000</v>
      </c>
      <c r="J59" s="247">
        <f>IF(J23="","",'Management Overview'!M23)</f>
        <v>471650000</v>
      </c>
      <c r="K59" s="247">
        <f>IF(K23="","",'Management Overview'!N23)</f>
        <v>0</v>
      </c>
      <c r="L59" s="247" t="str">
        <f>IF(L23="","",'Management Overview'!O23)</f>
        <v/>
      </c>
      <c r="M59" s="247" t="str">
        <f>IF(M23="","",'Management Overview'!P23)</f>
        <v/>
      </c>
      <c r="N59" s="247" t="str">
        <f>IF(N23="","",'Management Overview'!Q23)</f>
        <v/>
      </c>
      <c r="O59" s="247" t="str">
        <f>IF(O23="","",'Management Overview'!R23)</f>
        <v/>
      </c>
      <c r="P59" s="247" t="str">
        <f>IF(P23="","",'Management Overview'!S23)</f>
        <v/>
      </c>
      <c r="Q59" s="247" t="str">
        <f>IF(Q23="","",'Management Overview'!T23)</f>
        <v/>
      </c>
    </row>
    <row r="60" spans="1:17" s="223" customFormat="1" x14ac:dyDescent="0.25">
      <c r="A60" s="222" t="s">
        <v>155</v>
      </c>
      <c r="B60" s="247">
        <f>IF(B24="","",'Management Overview'!E24)</f>
        <v>179000000</v>
      </c>
      <c r="C60" s="247">
        <f>IF(C24="","",'Management Overview'!F24)</f>
        <v>37850000</v>
      </c>
      <c r="D60" s="247">
        <f>IF(D24="","",'Management Overview'!G24)</f>
        <v>38520000</v>
      </c>
      <c r="E60" s="247">
        <f>IF(E24="","",'Management Overview'!H24)</f>
        <v>45790000</v>
      </c>
      <c r="F60" s="247">
        <f>IF(F24="","",'Management Overview'!I24)</f>
        <v>58590000</v>
      </c>
      <c r="G60" s="247">
        <f>IF(G24="","",'Management Overview'!J24)</f>
        <v>81980000</v>
      </c>
      <c r="H60" s="247">
        <f>IF(H24="","",'Management Overview'!K24)</f>
        <v>100040000</v>
      </c>
      <c r="I60" s="247">
        <f>IF(I24="","",'Management Overview'!L24)</f>
        <v>111690000</v>
      </c>
      <c r="J60" s="247">
        <f>IF(J24="","",'Management Overview'!M24)</f>
        <v>146480000</v>
      </c>
      <c r="K60" s="247">
        <f>IF(K24="","",'Management Overview'!N24)</f>
        <v>0</v>
      </c>
      <c r="L60" s="247" t="str">
        <f>IF(L24="","",'Management Overview'!O24)</f>
        <v/>
      </c>
      <c r="M60" s="247" t="str">
        <f>IF(M24="","",'Management Overview'!P24)</f>
        <v/>
      </c>
      <c r="N60" s="247" t="str">
        <f>IF(N24="","",'Management Overview'!Q24)</f>
        <v/>
      </c>
      <c r="O60" s="247" t="str">
        <f>IF(O24="","",'Management Overview'!R24)</f>
        <v/>
      </c>
      <c r="P60" s="247" t="str">
        <f>IF(P24="","",'Management Overview'!S24)</f>
        <v/>
      </c>
      <c r="Q60" s="247" t="str">
        <f>IF(Q24="","",'Management Overview'!T24)</f>
        <v/>
      </c>
    </row>
    <row r="61" spans="1:17" s="226" customFormat="1" ht="15.75" thickBot="1" x14ac:dyDescent="0.3">
      <c r="A61" s="224" t="s">
        <v>156</v>
      </c>
      <c r="B61" s="248">
        <f>IF(B25="","",'Management Overview'!E25)</f>
        <v>14445440000</v>
      </c>
      <c r="C61" s="248">
        <f>IF(C25="","",'Management Overview'!F25)</f>
        <v>2985150000</v>
      </c>
      <c r="D61" s="248">
        <f>IF(D25="","",'Management Overview'!G25)</f>
        <v>2644610000</v>
      </c>
      <c r="E61" s="248">
        <f>IF(E25="","",'Management Overview'!H25)</f>
        <v>3053840000</v>
      </c>
      <c r="F61" s="248">
        <f>IF(F25="","",'Management Overview'!I25)</f>
        <v>3907930000</v>
      </c>
      <c r="G61" s="248">
        <f>IF(G25="","",'Management Overview'!J25)</f>
        <v>5629940000</v>
      </c>
      <c r="H61" s="248">
        <f>IF(H25="","",'Management Overview'!K25)</f>
        <v>11430770000</v>
      </c>
      <c r="I61" s="248">
        <f>IF(I25="","",'Management Overview'!L25)</f>
        <v>11377300000</v>
      </c>
      <c r="J61" s="248">
        <f>IF(J25="","",'Management Overview'!M25)</f>
        <v>12150660000</v>
      </c>
      <c r="K61" s="248">
        <f>IF(K25="","",'Management Overview'!N25)</f>
        <v>0</v>
      </c>
      <c r="L61" s="248" t="str">
        <f>IF(L25="","",'Management Overview'!O25)</f>
        <v/>
      </c>
      <c r="M61" s="248" t="str">
        <f>IF(M25="","",'Management Overview'!P25)</f>
        <v/>
      </c>
      <c r="N61" s="248" t="str">
        <f>IF(N25="","",'Management Overview'!Q25)</f>
        <v/>
      </c>
      <c r="O61" s="248" t="str">
        <f>IF(O25="","",'Management Overview'!R25)</f>
        <v/>
      </c>
      <c r="P61" s="248" t="str">
        <f>IF(P25="","",'Management Overview'!S25)</f>
        <v/>
      </c>
      <c r="Q61" s="248" t="str">
        <f>IF(Q25="","",'Management Overview'!T25)</f>
        <v/>
      </c>
    </row>
    <row r="62" spans="1:17" x14ac:dyDescent="0.25">
      <c r="A62" s="214"/>
      <c r="B62" s="215"/>
      <c r="C62" s="215"/>
      <c r="D62" s="215"/>
      <c r="E62" s="215"/>
      <c r="F62" s="215"/>
      <c r="G62" s="215"/>
      <c r="H62" s="215"/>
      <c r="I62" s="215"/>
      <c r="J62" s="215"/>
      <c r="K62" s="215"/>
      <c r="L62" s="215"/>
      <c r="M62" s="215"/>
      <c r="N62" s="215"/>
      <c r="O62" s="215"/>
      <c r="P62" s="215"/>
      <c r="Q62" s="215"/>
    </row>
  </sheetData>
  <pageMargins left="0.7" right="0.7" top="0.78740157499999996" bottom="0.78740157499999996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_Resource_CIO"/>
  <dimension ref="A1:F66"/>
  <sheetViews>
    <sheetView workbookViewId="0">
      <selection activeCell="D24" sqref="D24"/>
    </sheetView>
  </sheetViews>
  <sheetFormatPr baseColWidth="10" defaultRowHeight="15" x14ac:dyDescent="0.25"/>
  <cols>
    <col min="1" max="1" width="35.5703125" customWidth="1"/>
    <col min="2" max="2" width="15" customWidth="1"/>
    <col min="3" max="3" width="2" customWidth="1"/>
    <col min="4" max="4" width="1.7109375" customWidth="1"/>
    <col min="5" max="5" width="33.85546875" customWidth="1"/>
    <col min="6" max="6" width="15" customWidth="1"/>
    <col min="7" max="7" width="2" customWidth="1"/>
    <col min="8" max="8" width="1.7109375" customWidth="1"/>
    <col min="9" max="9" width="33.85546875" bestFit="1" customWidth="1"/>
    <col min="10" max="10" width="15" bestFit="1" customWidth="1"/>
  </cols>
  <sheetData>
    <row r="1" spans="1:6" x14ac:dyDescent="0.25">
      <c r="A1" t="s">
        <v>185</v>
      </c>
    </row>
    <row r="2" spans="1:6" x14ac:dyDescent="0.25">
      <c r="A2" t="s">
        <v>554</v>
      </c>
      <c r="B2" t="s">
        <v>555</v>
      </c>
      <c r="C2" t="s">
        <v>186</v>
      </c>
      <c r="D2" t="s">
        <v>187</v>
      </c>
      <c r="E2" t="s">
        <v>843</v>
      </c>
      <c r="F2" t="s">
        <v>188</v>
      </c>
    </row>
    <row r="3" spans="1:6" x14ac:dyDescent="0.25">
      <c r="A3" t="s">
        <v>189</v>
      </c>
      <c r="B3" t="s">
        <v>844</v>
      </c>
      <c r="E3" t="s">
        <v>190</v>
      </c>
      <c r="F3" t="s">
        <v>846</v>
      </c>
    </row>
    <row r="4" spans="1:6" x14ac:dyDescent="0.25">
      <c r="E4" t="s">
        <v>845</v>
      </c>
    </row>
    <row r="5" spans="1:6" x14ac:dyDescent="0.25">
      <c r="A5" t="s">
        <v>191</v>
      </c>
      <c r="B5" t="s">
        <v>847</v>
      </c>
      <c r="E5" t="s">
        <v>190</v>
      </c>
      <c r="F5" t="s">
        <v>847</v>
      </c>
    </row>
    <row r="6" spans="1:6" x14ac:dyDescent="0.25">
      <c r="E6" t="s">
        <v>845</v>
      </c>
    </row>
    <row r="7" spans="1:6" x14ac:dyDescent="0.25">
      <c r="A7" t="s">
        <v>192</v>
      </c>
      <c r="B7" t="s">
        <v>848</v>
      </c>
      <c r="E7" t="s">
        <v>190</v>
      </c>
      <c r="F7" t="s">
        <v>848</v>
      </c>
    </row>
    <row r="8" spans="1:6" x14ac:dyDescent="0.25">
      <c r="E8" t="s">
        <v>845</v>
      </c>
    </row>
    <row r="9" spans="1:6" x14ac:dyDescent="0.25">
      <c r="A9" t="s">
        <v>193</v>
      </c>
      <c r="B9" t="s">
        <v>849</v>
      </c>
      <c r="E9" t="s">
        <v>190</v>
      </c>
      <c r="F9" t="s">
        <v>849</v>
      </c>
    </row>
    <row r="10" spans="1:6" x14ac:dyDescent="0.25">
      <c r="E10" t="s">
        <v>845</v>
      </c>
    </row>
    <row r="11" spans="1:6" x14ac:dyDescent="0.25">
      <c r="A11" t="s">
        <v>194</v>
      </c>
      <c r="B11" t="s">
        <v>850</v>
      </c>
      <c r="E11" t="s">
        <v>190</v>
      </c>
      <c r="F11" t="s">
        <v>850</v>
      </c>
    </row>
    <row r="12" spans="1:6" x14ac:dyDescent="0.25">
      <c r="E12" t="s">
        <v>845</v>
      </c>
    </row>
    <row r="14" spans="1:6" x14ac:dyDescent="0.25">
      <c r="A14" t="s">
        <v>195</v>
      </c>
    </row>
    <row r="15" spans="1:6" x14ac:dyDescent="0.25">
      <c r="A15" t="s">
        <v>554</v>
      </c>
      <c r="B15" t="s">
        <v>555</v>
      </c>
      <c r="C15" t="s">
        <v>186</v>
      </c>
      <c r="D15" t="s">
        <v>187</v>
      </c>
      <c r="E15" t="s">
        <v>843</v>
      </c>
      <c r="F15" t="s">
        <v>188</v>
      </c>
    </row>
    <row r="16" spans="1:6" x14ac:dyDescent="0.25">
      <c r="A16" t="s">
        <v>196</v>
      </c>
      <c r="B16" t="s">
        <v>851</v>
      </c>
      <c r="E16" t="s">
        <v>852</v>
      </c>
      <c r="F16" t="s">
        <v>851</v>
      </c>
    </row>
    <row r="17" spans="1:6" x14ac:dyDescent="0.25">
      <c r="E17" t="s">
        <v>853</v>
      </c>
    </row>
    <row r="18" spans="1:6" x14ac:dyDescent="0.25">
      <c r="A18" t="s">
        <v>197</v>
      </c>
      <c r="B18" t="s">
        <v>854</v>
      </c>
      <c r="E18" t="s">
        <v>855</v>
      </c>
      <c r="F18" t="s">
        <v>854</v>
      </c>
    </row>
    <row r="19" spans="1:6" x14ac:dyDescent="0.25">
      <c r="E19" t="s">
        <v>856</v>
      </c>
    </row>
    <row r="20" spans="1:6" x14ac:dyDescent="0.25">
      <c r="A20" t="s">
        <v>198</v>
      </c>
      <c r="B20" t="s">
        <v>857</v>
      </c>
      <c r="E20" t="s">
        <v>858</v>
      </c>
      <c r="F20" t="s">
        <v>857</v>
      </c>
    </row>
    <row r="21" spans="1:6" x14ac:dyDescent="0.25">
      <c r="E21" t="s">
        <v>859</v>
      </c>
    </row>
    <row r="22" spans="1:6" x14ac:dyDescent="0.25">
      <c r="A22" t="s">
        <v>199</v>
      </c>
      <c r="B22" t="s">
        <v>860</v>
      </c>
      <c r="E22" t="s">
        <v>861</v>
      </c>
      <c r="F22" t="s">
        <v>862</v>
      </c>
    </row>
    <row r="23" spans="1:6" x14ac:dyDescent="0.25">
      <c r="E23" t="s">
        <v>856</v>
      </c>
    </row>
    <row r="25" spans="1:6" x14ac:dyDescent="0.25">
      <c r="A25" t="s">
        <v>200</v>
      </c>
    </row>
    <row r="26" spans="1:6" x14ac:dyDescent="0.25">
      <c r="A26" t="s">
        <v>554</v>
      </c>
      <c r="B26" t="s">
        <v>555</v>
      </c>
      <c r="C26" t="s">
        <v>186</v>
      </c>
      <c r="D26" t="s">
        <v>187</v>
      </c>
      <c r="E26" t="s">
        <v>843</v>
      </c>
      <c r="F26" t="s">
        <v>188</v>
      </c>
    </row>
    <row r="27" spans="1:6" x14ac:dyDescent="0.25">
      <c r="A27" t="s">
        <v>201</v>
      </c>
      <c r="B27" t="s">
        <v>863</v>
      </c>
      <c r="E27" t="s">
        <v>864</v>
      </c>
      <c r="F27" t="s">
        <v>863</v>
      </c>
    </row>
    <row r="28" spans="1:6" x14ac:dyDescent="0.25">
      <c r="E28" t="s">
        <v>865</v>
      </c>
    </row>
    <row r="29" spans="1:6" x14ac:dyDescent="0.25">
      <c r="A29" t="s">
        <v>202</v>
      </c>
      <c r="B29" t="s">
        <v>866</v>
      </c>
      <c r="E29" t="s">
        <v>864</v>
      </c>
      <c r="F29" t="s">
        <v>866</v>
      </c>
    </row>
    <row r="30" spans="1:6" x14ac:dyDescent="0.25">
      <c r="E30" t="s">
        <v>865</v>
      </c>
    </row>
    <row r="31" spans="1:6" x14ac:dyDescent="0.25">
      <c r="A31" t="s">
        <v>203</v>
      </c>
      <c r="B31" t="s">
        <v>867</v>
      </c>
      <c r="E31" t="s">
        <v>864</v>
      </c>
      <c r="F31" t="s">
        <v>867</v>
      </c>
    </row>
    <row r="32" spans="1:6" x14ac:dyDescent="0.25">
      <c r="E32" t="s">
        <v>865</v>
      </c>
    </row>
    <row r="33" spans="1:6" x14ac:dyDescent="0.25">
      <c r="A33" t="s">
        <v>204</v>
      </c>
      <c r="B33" t="s">
        <v>868</v>
      </c>
      <c r="E33" t="s">
        <v>864</v>
      </c>
      <c r="F33" t="s">
        <v>868</v>
      </c>
    </row>
    <row r="34" spans="1:6" x14ac:dyDescent="0.25">
      <c r="E34" t="s">
        <v>865</v>
      </c>
    </row>
    <row r="35" spans="1:6" x14ac:dyDescent="0.25">
      <c r="A35" t="s">
        <v>205</v>
      </c>
      <c r="B35" t="s">
        <v>869</v>
      </c>
      <c r="E35" t="s">
        <v>864</v>
      </c>
      <c r="F35" t="s">
        <v>869</v>
      </c>
    </row>
    <row r="36" spans="1:6" x14ac:dyDescent="0.25">
      <c r="E36" t="s">
        <v>865</v>
      </c>
    </row>
    <row r="37" spans="1:6" x14ac:dyDescent="0.25">
      <c r="A37" t="s">
        <v>206</v>
      </c>
      <c r="B37" t="s">
        <v>870</v>
      </c>
      <c r="E37" t="s">
        <v>864</v>
      </c>
      <c r="F37" t="s">
        <v>870</v>
      </c>
    </row>
    <row r="38" spans="1:6" x14ac:dyDescent="0.25">
      <c r="E38" t="s">
        <v>865</v>
      </c>
    </row>
    <row r="39" spans="1:6" x14ac:dyDescent="0.25">
      <c r="A39" t="s">
        <v>207</v>
      </c>
      <c r="B39" t="s">
        <v>871</v>
      </c>
      <c r="E39" t="s">
        <v>864</v>
      </c>
      <c r="F39" t="s">
        <v>871</v>
      </c>
    </row>
    <row r="40" spans="1:6" x14ac:dyDescent="0.25">
      <c r="E40" t="s">
        <v>865</v>
      </c>
    </row>
    <row r="41" spans="1:6" x14ac:dyDescent="0.25">
      <c r="A41" t="s">
        <v>208</v>
      </c>
      <c r="B41" t="s">
        <v>872</v>
      </c>
      <c r="E41" t="s">
        <v>864</v>
      </c>
      <c r="F41" t="s">
        <v>872</v>
      </c>
    </row>
    <row r="42" spans="1:6" x14ac:dyDescent="0.25">
      <c r="E42" t="s">
        <v>865</v>
      </c>
    </row>
    <row r="43" spans="1:6" x14ac:dyDescent="0.25">
      <c r="A43" t="s">
        <v>209</v>
      </c>
      <c r="B43" t="s">
        <v>873</v>
      </c>
      <c r="E43" t="s">
        <v>864</v>
      </c>
      <c r="F43" t="s">
        <v>873</v>
      </c>
    </row>
    <row r="44" spans="1:6" x14ac:dyDescent="0.25">
      <c r="E44" t="s">
        <v>865</v>
      </c>
    </row>
    <row r="45" spans="1:6" x14ac:dyDescent="0.25">
      <c r="A45" t="s">
        <v>210</v>
      </c>
      <c r="B45" t="s">
        <v>874</v>
      </c>
      <c r="E45" t="s">
        <v>864</v>
      </c>
      <c r="F45" t="s">
        <v>874</v>
      </c>
    </row>
    <row r="46" spans="1:6" x14ac:dyDescent="0.25">
      <c r="E46" t="s">
        <v>865</v>
      </c>
    </row>
    <row r="47" spans="1:6" x14ac:dyDescent="0.25">
      <c r="A47" t="s">
        <v>211</v>
      </c>
      <c r="B47" t="s">
        <v>875</v>
      </c>
      <c r="E47" t="s">
        <v>876</v>
      </c>
      <c r="F47" t="s">
        <v>875</v>
      </c>
    </row>
    <row r="48" spans="1:6" x14ac:dyDescent="0.25">
      <c r="E48" t="s">
        <v>877</v>
      </c>
    </row>
    <row r="49" spans="1:6" x14ac:dyDescent="0.25">
      <c r="A49" t="s">
        <v>212</v>
      </c>
      <c r="B49" t="s">
        <v>878</v>
      </c>
      <c r="E49" t="s">
        <v>876</v>
      </c>
      <c r="F49" t="s">
        <v>879</v>
      </c>
    </row>
    <row r="50" spans="1:6" x14ac:dyDescent="0.25">
      <c r="E50" t="s">
        <v>877</v>
      </c>
    </row>
    <row r="51" spans="1:6" x14ac:dyDescent="0.25">
      <c r="A51" t="s">
        <v>213</v>
      </c>
      <c r="B51" t="s">
        <v>880</v>
      </c>
      <c r="E51" t="s">
        <v>876</v>
      </c>
      <c r="F51" t="s">
        <v>880</v>
      </c>
    </row>
    <row r="52" spans="1:6" x14ac:dyDescent="0.25">
      <c r="E52" t="s">
        <v>877</v>
      </c>
    </row>
    <row r="53" spans="1:6" x14ac:dyDescent="0.25">
      <c r="A53" t="s">
        <v>214</v>
      </c>
      <c r="B53" t="s">
        <v>881</v>
      </c>
      <c r="E53" t="s">
        <v>876</v>
      </c>
      <c r="F53" t="s">
        <v>882</v>
      </c>
    </row>
    <row r="54" spans="1:6" x14ac:dyDescent="0.25">
      <c r="E54" t="s">
        <v>877</v>
      </c>
    </row>
    <row r="55" spans="1:6" x14ac:dyDescent="0.25">
      <c r="A55" t="s">
        <v>215</v>
      </c>
      <c r="B55" t="s">
        <v>883</v>
      </c>
      <c r="E55" t="s">
        <v>876</v>
      </c>
      <c r="F55" t="s">
        <v>884</v>
      </c>
    </row>
    <row r="56" spans="1:6" x14ac:dyDescent="0.25">
      <c r="E56" t="s">
        <v>877</v>
      </c>
    </row>
    <row r="57" spans="1:6" x14ac:dyDescent="0.25">
      <c r="A57" t="s">
        <v>216</v>
      </c>
      <c r="B57" t="s">
        <v>885</v>
      </c>
      <c r="E57" t="s">
        <v>876</v>
      </c>
      <c r="F57" t="s">
        <v>885</v>
      </c>
    </row>
    <row r="58" spans="1:6" x14ac:dyDescent="0.25">
      <c r="E58" t="s">
        <v>877</v>
      </c>
    </row>
    <row r="59" spans="1:6" x14ac:dyDescent="0.25">
      <c r="A59" t="s">
        <v>217</v>
      </c>
      <c r="B59" t="s">
        <v>886</v>
      </c>
      <c r="E59" t="s">
        <v>876</v>
      </c>
      <c r="F59" t="s">
        <v>822</v>
      </c>
    </row>
    <row r="60" spans="1:6" x14ac:dyDescent="0.25">
      <c r="E60" t="s">
        <v>877</v>
      </c>
    </row>
    <row r="61" spans="1:6" x14ac:dyDescent="0.25">
      <c r="A61" t="s">
        <v>218</v>
      </c>
      <c r="B61" t="s">
        <v>887</v>
      </c>
      <c r="E61" t="s">
        <v>876</v>
      </c>
      <c r="F61" t="s">
        <v>887</v>
      </c>
    </row>
    <row r="62" spans="1:6" x14ac:dyDescent="0.25">
      <c r="E62" t="s">
        <v>877</v>
      </c>
    </row>
    <row r="63" spans="1:6" x14ac:dyDescent="0.25">
      <c r="A63" t="s">
        <v>219</v>
      </c>
      <c r="B63" t="s">
        <v>888</v>
      </c>
      <c r="E63" t="s">
        <v>876</v>
      </c>
      <c r="F63" t="s">
        <v>835</v>
      </c>
    </row>
    <row r="64" spans="1:6" x14ac:dyDescent="0.25">
      <c r="E64" t="s">
        <v>877</v>
      </c>
    </row>
    <row r="65" spans="1:6" x14ac:dyDescent="0.25">
      <c r="A65" t="s">
        <v>220</v>
      </c>
      <c r="B65" t="s">
        <v>885</v>
      </c>
      <c r="E65" t="s">
        <v>876</v>
      </c>
      <c r="F65" t="s">
        <v>885</v>
      </c>
    </row>
    <row r="66" spans="1:6" x14ac:dyDescent="0.25">
      <c r="E66" t="s">
        <v>877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_Resource_CFO"/>
  <dimension ref="A1:J33"/>
  <sheetViews>
    <sheetView topLeftCell="A12" workbookViewId="0"/>
  </sheetViews>
  <sheetFormatPr baseColWidth="10" defaultRowHeight="15" x14ac:dyDescent="0.25"/>
  <cols>
    <col min="1" max="1" width="23.7109375" customWidth="1"/>
    <col min="2" max="2" width="16.85546875" customWidth="1"/>
    <col min="3" max="3" width="2" customWidth="1"/>
    <col min="4" max="4" width="1.7109375" customWidth="1"/>
    <col min="5" max="5" width="32.140625" customWidth="1"/>
    <col min="6" max="6" width="14.140625" customWidth="1"/>
    <col min="7" max="7" width="2" customWidth="1"/>
    <col min="8" max="8" width="1.7109375" customWidth="1"/>
    <col min="9" max="9" width="32.140625" bestFit="1" customWidth="1"/>
    <col min="10" max="10" width="14.140625" customWidth="1"/>
  </cols>
  <sheetData>
    <row r="1" spans="1:6" x14ac:dyDescent="0.25">
      <c r="A1" t="s">
        <v>221</v>
      </c>
    </row>
    <row r="2" spans="1:6" x14ac:dyDescent="0.25">
      <c r="A2" t="s">
        <v>554</v>
      </c>
      <c r="B2" t="s">
        <v>555</v>
      </c>
      <c r="C2" t="s">
        <v>186</v>
      </c>
      <c r="D2" t="s">
        <v>187</v>
      </c>
      <c r="E2" t="s">
        <v>843</v>
      </c>
      <c r="F2" t="s">
        <v>188</v>
      </c>
    </row>
    <row r="3" spans="1:6" x14ac:dyDescent="0.25">
      <c r="A3" t="s">
        <v>222</v>
      </c>
      <c r="B3" t="s">
        <v>889</v>
      </c>
      <c r="E3" t="s">
        <v>223</v>
      </c>
      <c r="F3" t="s">
        <v>891</v>
      </c>
    </row>
    <row r="4" spans="1:6" x14ac:dyDescent="0.25">
      <c r="E4" t="s">
        <v>890</v>
      </c>
    </row>
    <row r="5" spans="1:6" x14ac:dyDescent="0.25">
      <c r="A5" t="s">
        <v>224</v>
      </c>
      <c r="B5" t="s">
        <v>892</v>
      </c>
      <c r="E5" t="s">
        <v>225</v>
      </c>
      <c r="F5" t="s">
        <v>893</v>
      </c>
    </row>
    <row r="6" spans="1:6" x14ac:dyDescent="0.25">
      <c r="E6" t="s">
        <v>890</v>
      </c>
    </row>
    <row r="7" spans="1:6" x14ac:dyDescent="0.25">
      <c r="A7" t="s">
        <v>140</v>
      </c>
      <c r="B7" t="s">
        <v>892</v>
      </c>
      <c r="E7" t="s">
        <v>226</v>
      </c>
      <c r="F7" t="s">
        <v>893</v>
      </c>
    </row>
    <row r="8" spans="1:6" x14ac:dyDescent="0.25">
      <c r="E8" t="s">
        <v>894</v>
      </c>
    </row>
    <row r="9" spans="1:6" x14ac:dyDescent="0.25">
      <c r="A9" t="s">
        <v>150</v>
      </c>
      <c r="B9" t="s">
        <v>892</v>
      </c>
      <c r="E9" t="s">
        <v>227</v>
      </c>
      <c r="F9" t="s">
        <v>893</v>
      </c>
    </row>
    <row r="10" spans="1:6" x14ac:dyDescent="0.25">
      <c r="E10" t="s">
        <v>895</v>
      </c>
    </row>
    <row r="11" spans="1:6" x14ac:dyDescent="0.25">
      <c r="A11" t="s">
        <v>228</v>
      </c>
      <c r="B11" t="s">
        <v>892</v>
      </c>
      <c r="E11" t="s">
        <v>229</v>
      </c>
      <c r="F11" t="s">
        <v>893</v>
      </c>
    </row>
    <row r="12" spans="1:6" x14ac:dyDescent="0.25">
      <c r="E12" t="s">
        <v>896</v>
      </c>
    </row>
    <row r="13" spans="1:6" x14ac:dyDescent="0.25">
      <c r="A13" t="s">
        <v>230</v>
      </c>
      <c r="B13" t="s">
        <v>892</v>
      </c>
      <c r="E13" t="s">
        <v>231</v>
      </c>
      <c r="F13" t="s">
        <v>893</v>
      </c>
    </row>
    <row r="14" spans="1:6" x14ac:dyDescent="0.25">
      <c r="E14" t="s">
        <v>896</v>
      </c>
    </row>
    <row r="28" spans="10:10" x14ac:dyDescent="0.25">
      <c r="J28" s="3"/>
    </row>
    <row r="29" spans="10:10" x14ac:dyDescent="0.25">
      <c r="J29" s="3"/>
    </row>
    <row r="30" spans="10:10" x14ac:dyDescent="0.25">
      <c r="J30" s="3"/>
    </row>
    <row r="31" spans="10:10" x14ac:dyDescent="0.25">
      <c r="J31" s="3"/>
    </row>
    <row r="33" spans="10:10" x14ac:dyDescent="0.25">
      <c r="J33" s="3"/>
    </row>
  </sheetData>
  <pageMargins left="0.7" right="0.7" top="0.78740157499999996" bottom="0.78740157499999996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_Resource_CMO"/>
  <dimension ref="A1:I29"/>
  <sheetViews>
    <sheetView workbookViewId="0"/>
  </sheetViews>
  <sheetFormatPr baseColWidth="10" defaultRowHeight="15" x14ac:dyDescent="0.25"/>
  <cols>
    <col min="1" max="1" width="37.140625" customWidth="1"/>
    <col min="2" max="2" width="16.85546875" customWidth="1"/>
    <col min="3" max="3" width="2" customWidth="1"/>
    <col min="4" max="4" width="1.7109375" customWidth="1"/>
    <col min="5" max="5" width="50.85546875" customWidth="1"/>
    <col min="6" max="6" width="14.140625" customWidth="1"/>
    <col min="7" max="7" width="2" customWidth="1"/>
    <col min="8" max="8" width="1.7109375" customWidth="1"/>
    <col min="9" max="9" width="50.85546875" bestFit="1" customWidth="1"/>
    <col min="10" max="10" width="14.140625" customWidth="1"/>
  </cols>
  <sheetData>
    <row r="1" spans="1:6" x14ac:dyDescent="0.25">
      <c r="A1" t="s">
        <v>174</v>
      </c>
    </row>
    <row r="2" spans="1:6" x14ac:dyDescent="0.25">
      <c r="A2" t="s">
        <v>554</v>
      </c>
      <c r="B2" t="s">
        <v>555</v>
      </c>
      <c r="C2" t="s">
        <v>186</v>
      </c>
      <c r="D2" t="s">
        <v>187</v>
      </c>
      <c r="E2" t="s">
        <v>843</v>
      </c>
      <c r="F2" t="s">
        <v>188</v>
      </c>
    </row>
    <row r="3" spans="1:6" x14ac:dyDescent="0.25">
      <c r="A3" t="s">
        <v>232</v>
      </c>
      <c r="B3" t="s">
        <v>897</v>
      </c>
      <c r="E3" t="s">
        <v>233</v>
      </c>
      <c r="F3" t="s">
        <v>898</v>
      </c>
    </row>
    <row r="4" spans="1:6" x14ac:dyDescent="0.25">
      <c r="E4" s="3">
        <v>0.99590000000000001</v>
      </c>
    </row>
    <row r="5" spans="1:6" x14ac:dyDescent="0.25">
      <c r="A5" t="s">
        <v>234</v>
      </c>
      <c r="B5" t="s">
        <v>899</v>
      </c>
      <c r="E5" t="s">
        <v>64</v>
      </c>
      <c r="F5" t="s">
        <v>900</v>
      </c>
    </row>
    <row r="6" spans="1:6" x14ac:dyDescent="0.25">
      <c r="E6" s="3">
        <v>0.99170000000000003</v>
      </c>
    </row>
    <row r="7" spans="1:6" x14ac:dyDescent="0.25">
      <c r="A7" t="s">
        <v>235</v>
      </c>
      <c r="B7" t="s">
        <v>901</v>
      </c>
      <c r="E7" t="s">
        <v>65</v>
      </c>
      <c r="F7" t="s">
        <v>902</v>
      </c>
    </row>
    <row r="8" spans="1:6" x14ac:dyDescent="0.25">
      <c r="E8" s="3">
        <v>0.99170000000000003</v>
      </c>
    </row>
    <row r="10" spans="1:6" x14ac:dyDescent="0.25">
      <c r="A10" t="s">
        <v>236</v>
      </c>
    </row>
    <row r="11" spans="1:6" x14ac:dyDescent="0.25">
      <c r="A11" t="s">
        <v>554</v>
      </c>
      <c r="B11" t="s">
        <v>555</v>
      </c>
      <c r="C11" t="s">
        <v>186</v>
      </c>
      <c r="D11" t="s">
        <v>187</v>
      </c>
      <c r="E11" t="s">
        <v>843</v>
      </c>
      <c r="F11" t="s">
        <v>188</v>
      </c>
    </row>
    <row r="12" spans="1:6" x14ac:dyDescent="0.25">
      <c r="A12" t="s">
        <v>237</v>
      </c>
      <c r="B12" t="s">
        <v>903</v>
      </c>
      <c r="E12" t="s">
        <v>238</v>
      </c>
      <c r="F12" t="s">
        <v>905</v>
      </c>
    </row>
    <row r="13" spans="1:6" x14ac:dyDescent="0.25">
      <c r="E13" t="s">
        <v>904</v>
      </c>
    </row>
    <row r="14" spans="1:6" x14ac:dyDescent="0.25">
      <c r="A14" t="s">
        <v>239</v>
      </c>
      <c r="B14" t="s">
        <v>906</v>
      </c>
      <c r="E14" t="s">
        <v>240</v>
      </c>
      <c r="F14" t="s">
        <v>908</v>
      </c>
    </row>
    <row r="15" spans="1:6" x14ac:dyDescent="0.25">
      <c r="E15" t="s">
        <v>907</v>
      </c>
    </row>
    <row r="25" spans="9:9" x14ac:dyDescent="0.25">
      <c r="I25" s="3"/>
    </row>
    <row r="27" spans="9:9" x14ac:dyDescent="0.25">
      <c r="I27" s="3"/>
    </row>
    <row r="29" spans="9:9" x14ac:dyDescent="0.25">
      <c r="I29" s="3"/>
    </row>
  </sheetData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_Resource_COO"/>
  <dimension ref="A1:F31"/>
  <sheetViews>
    <sheetView workbookViewId="0"/>
  </sheetViews>
  <sheetFormatPr baseColWidth="10" defaultRowHeight="15" x14ac:dyDescent="0.25"/>
  <cols>
    <col min="1" max="1" width="31" customWidth="1"/>
    <col min="2" max="2" width="11.5703125" customWidth="1"/>
    <col min="3" max="3" width="2" customWidth="1"/>
    <col min="4" max="4" width="1.7109375" customWidth="1"/>
    <col min="5" max="5" width="33.28515625" customWidth="1"/>
    <col min="6" max="6" width="11.5703125" customWidth="1"/>
    <col min="7" max="7" width="2" customWidth="1"/>
    <col min="8" max="8" width="1.7109375" customWidth="1"/>
    <col min="9" max="9" width="33.28515625" customWidth="1"/>
    <col min="10" max="10" width="11.5703125" customWidth="1"/>
  </cols>
  <sheetData>
    <row r="1" spans="1:6" x14ac:dyDescent="0.25">
      <c r="A1" t="s">
        <v>241</v>
      </c>
    </row>
    <row r="2" spans="1:6" x14ac:dyDescent="0.25">
      <c r="A2" t="s">
        <v>554</v>
      </c>
      <c r="B2" t="s">
        <v>555</v>
      </c>
      <c r="C2" t="s">
        <v>186</v>
      </c>
      <c r="D2" t="s">
        <v>187</v>
      </c>
      <c r="E2" t="s">
        <v>843</v>
      </c>
      <c r="F2" t="s">
        <v>188</v>
      </c>
    </row>
    <row r="3" spans="1:6" x14ac:dyDescent="0.25">
      <c r="A3" t="s">
        <v>242</v>
      </c>
      <c r="B3" t="s">
        <v>909</v>
      </c>
      <c r="E3" t="s">
        <v>190</v>
      </c>
      <c r="F3" t="s">
        <v>909</v>
      </c>
    </row>
    <row r="4" spans="1:6" x14ac:dyDescent="0.25">
      <c r="E4" t="s">
        <v>910</v>
      </c>
    </row>
    <row r="5" spans="1:6" x14ac:dyDescent="0.25">
      <c r="A5" t="s">
        <v>243</v>
      </c>
      <c r="B5" t="s">
        <v>911</v>
      </c>
      <c r="E5" t="s">
        <v>190</v>
      </c>
      <c r="F5" t="s">
        <v>912</v>
      </c>
    </row>
    <row r="6" spans="1:6" x14ac:dyDescent="0.25">
      <c r="E6" t="s">
        <v>845</v>
      </c>
    </row>
    <row r="7" spans="1:6" x14ac:dyDescent="0.25">
      <c r="A7" t="s">
        <v>244</v>
      </c>
      <c r="B7" t="s">
        <v>913</v>
      </c>
      <c r="E7" t="s">
        <v>190</v>
      </c>
      <c r="F7" t="s">
        <v>913</v>
      </c>
    </row>
    <row r="8" spans="1:6" x14ac:dyDescent="0.25">
      <c r="E8" t="s">
        <v>845</v>
      </c>
    </row>
    <row r="9" spans="1:6" x14ac:dyDescent="0.25">
      <c r="A9" t="s">
        <v>245</v>
      </c>
      <c r="B9" t="s">
        <v>914</v>
      </c>
      <c r="E9" t="s">
        <v>190</v>
      </c>
      <c r="F9" t="s">
        <v>914</v>
      </c>
    </row>
    <row r="10" spans="1:6" x14ac:dyDescent="0.25">
      <c r="E10" t="s">
        <v>845</v>
      </c>
    </row>
    <row r="11" spans="1:6" x14ac:dyDescent="0.25">
      <c r="A11" t="s">
        <v>246</v>
      </c>
      <c r="B11" t="s">
        <v>915</v>
      </c>
      <c r="E11" t="s">
        <v>190</v>
      </c>
      <c r="F11" t="s">
        <v>915</v>
      </c>
    </row>
    <row r="12" spans="1:6" x14ac:dyDescent="0.25">
      <c r="E12" t="s">
        <v>916</v>
      </c>
    </row>
    <row r="13" spans="1:6" x14ac:dyDescent="0.25">
      <c r="A13" t="s">
        <v>247</v>
      </c>
      <c r="B13" t="s">
        <v>917</v>
      </c>
      <c r="E13" t="s">
        <v>190</v>
      </c>
      <c r="F13" t="s">
        <v>917</v>
      </c>
    </row>
    <row r="14" spans="1:6" x14ac:dyDescent="0.25">
      <c r="E14" t="s">
        <v>916</v>
      </c>
    </row>
    <row r="15" spans="1:6" x14ac:dyDescent="0.25">
      <c r="A15" t="s">
        <v>248</v>
      </c>
      <c r="B15" t="s">
        <v>918</v>
      </c>
      <c r="E15" t="s">
        <v>190</v>
      </c>
      <c r="F15" t="s">
        <v>918</v>
      </c>
    </row>
    <row r="16" spans="1:6" x14ac:dyDescent="0.25">
      <c r="E16" t="s">
        <v>916</v>
      </c>
    </row>
    <row r="17" spans="1:6" x14ac:dyDescent="0.25">
      <c r="A17" t="s">
        <v>249</v>
      </c>
      <c r="B17" t="s">
        <v>919</v>
      </c>
      <c r="E17" t="s">
        <v>190</v>
      </c>
      <c r="F17" t="s">
        <v>919</v>
      </c>
    </row>
    <row r="18" spans="1:6" x14ac:dyDescent="0.25">
      <c r="E18" t="s">
        <v>916</v>
      </c>
    </row>
    <row r="19" spans="1:6" x14ac:dyDescent="0.25">
      <c r="A19" t="s">
        <v>250</v>
      </c>
      <c r="B19" t="s">
        <v>920</v>
      </c>
      <c r="E19" t="s">
        <v>190</v>
      </c>
      <c r="F19" t="s">
        <v>920</v>
      </c>
    </row>
    <row r="20" spans="1:6" x14ac:dyDescent="0.25">
      <c r="E20" t="s">
        <v>916</v>
      </c>
    </row>
    <row r="21" spans="1:6" x14ac:dyDescent="0.25">
      <c r="A21" t="s">
        <v>251</v>
      </c>
      <c r="B21" t="s">
        <v>921</v>
      </c>
      <c r="E21" t="s">
        <v>190</v>
      </c>
      <c r="F21" t="s">
        <v>921</v>
      </c>
    </row>
    <row r="22" spans="1:6" x14ac:dyDescent="0.25">
      <c r="E22" t="s">
        <v>916</v>
      </c>
    </row>
    <row r="24" spans="1:6" x14ac:dyDescent="0.25">
      <c r="A24" t="s">
        <v>252</v>
      </c>
    </row>
    <row r="25" spans="1:6" x14ac:dyDescent="0.25">
      <c r="A25" t="s">
        <v>554</v>
      </c>
      <c r="B25" t="s">
        <v>555</v>
      </c>
      <c r="C25" t="s">
        <v>186</v>
      </c>
      <c r="D25" t="s">
        <v>187</v>
      </c>
      <c r="E25" t="s">
        <v>843</v>
      </c>
      <c r="F25" t="s">
        <v>188</v>
      </c>
    </row>
    <row r="26" spans="1:6" x14ac:dyDescent="0.25">
      <c r="A26" t="s">
        <v>253</v>
      </c>
      <c r="B26" t="s">
        <v>844</v>
      </c>
      <c r="E26" t="s">
        <v>254</v>
      </c>
      <c r="F26" t="s">
        <v>846</v>
      </c>
    </row>
    <row r="27" spans="1:6" x14ac:dyDescent="0.25">
      <c r="E27" t="s">
        <v>922</v>
      </c>
    </row>
    <row r="28" spans="1:6" x14ac:dyDescent="0.25">
      <c r="A28" t="s">
        <v>255</v>
      </c>
      <c r="B28" t="s">
        <v>844</v>
      </c>
      <c r="E28" t="s">
        <v>256</v>
      </c>
      <c r="F28" t="s">
        <v>846</v>
      </c>
    </row>
    <row r="29" spans="1:6" x14ac:dyDescent="0.25">
      <c r="E29" t="s">
        <v>923</v>
      </c>
    </row>
    <row r="30" spans="1:6" x14ac:dyDescent="0.25">
      <c r="A30" t="s">
        <v>257</v>
      </c>
      <c r="B30" t="s">
        <v>844</v>
      </c>
      <c r="E30" t="s">
        <v>258</v>
      </c>
      <c r="F30" t="s">
        <v>846</v>
      </c>
    </row>
    <row r="31" spans="1:6" x14ac:dyDescent="0.25">
      <c r="E31" t="s">
        <v>924</v>
      </c>
    </row>
  </sheetData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_BSC_CIO"/>
  <dimension ref="A1:F57"/>
  <sheetViews>
    <sheetView workbookViewId="0"/>
  </sheetViews>
  <sheetFormatPr baseColWidth="10" defaultRowHeight="15" x14ac:dyDescent="0.25"/>
  <cols>
    <col min="1" max="1" width="36.7109375" bestFit="1" customWidth="1"/>
    <col min="2" max="2" width="6.5703125" customWidth="1"/>
    <col min="3" max="3" width="18.85546875" customWidth="1"/>
    <col min="4" max="4" width="1.7109375" customWidth="1"/>
    <col min="5" max="5" width="33.85546875" bestFit="1" customWidth="1"/>
    <col min="6" max="6" width="14" bestFit="1" customWidth="1"/>
  </cols>
  <sheetData>
    <row r="1" spans="1:3" x14ac:dyDescent="0.25">
      <c r="A1" t="s">
        <v>5</v>
      </c>
    </row>
    <row r="2" spans="1:3" x14ac:dyDescent="0.25">
      <c r="A2" t="s">
        <v>554</v>
      </c>
      <c r="B2" t="s">
        <v>556</v>
      </c>
      <c r="C2" s="3" t="s">
        <v>555</v>
      </c>
    </row>
    <row r="3" spans="1:3" x14ac:dyDescent="0.25">
      <c r="A3" t="s">
        <v>0</v>
      </c>
      <c r="C3" s="3" t="s">
        <v>925</v>
      </c>
    </row>
    <row r="4" spans="1:3" x14ac:dyDescent="0.25">
      <c r="A4" t="s">
        <v>1</v>
      </c>
      <c r="C4" s="3">
        <v>1</v>
      </c>
    </row>
    <row r="5" spans="1:3" x14ac:dyDescent="0.25">
      <c r="A5" t="s">
        <v>2</v>
      </c>
      <c r="C5" s="3">
        <v>1</v>
      </c>
    </row>
    <row r="6" spans="1:3" x14ac:dyDescent="0.25">
      <c r="A6" t="s">
        <v>3</v>
      </c>
      <c r="C6" s="3">
        <v>1</v>
      </c>
    </row>
    <row r="7" spans="1:3" x14ac:dyDescent="0.25">
      <c r="A7" t="s">
        <v>4</v>
      </c>
      <c r="C7" s="3">
        <v>1</v>
      </c>
    </row>
    <row r="8" spans="1:3" x14ac:dyDescent="0.25">
      <c r="C8" s="3"/>
    </row>
    <row r="9" spans="1:3" x14ac:dyDescent="0.25">
      <c r="A9" t="s">
        <v>6</v>
      </c>
      <c r="C9" s="3"/>
    </row>
    <row r="10" spans="1:3" x14ac:dyDescent="0.25">
      <c r="A10" t="s">
        <v>554</v>
      </c>
      <c r="B10" t="s">
        <v>556</v>
      </c>
      <c r="C10" s="3" t="s">
        <v>555</v>
      </c>
    </row>
    <row r="11" spans="1:3" x14ac:dyDescent="0.25">
      <c r="A11" t="s">
        <v>7</v>
      </c>
      <c r="C11" s="3">
        <v>0.20860000000000001</v>
      </c>
    </row>
    <row r="12" spans="1:3" x14ac:dyDescent="0.25">
      <c r="A12" t="s">
        <v>8</v>
      </c>
      <c r="C12" s="3">
        <v>0.21249999999999999</v>
      </c>
    </row>
    <row r="13" spans="1:3" x14ac:dyDescent="0.25">
      <c r="A13" t="s">
        <v>9</v>
      </c>
      <c r="C13" s="3">
        <v>0.97970000000000002</v>
      </c>
    </row>
    <row r="14" spans="1:3" x14ac:dyDescent="0.25">
      <c r="A14" t="s">
        <v>10</v>
      </c>
      <c r="C14" s="3">
        <v>0.98</v>
      </c>
    </row>
    <row r="15" spans="1:3" x14ac:dyDescent="0.25">
      <c r="A15" t="s">
        <v>11</v>
      </c>
      <c r="C15" s="3">
        <v>0.97970000000000002</v>
      </c>
    </row>
    <row r="16" spans="1:3" x14ac:dyDescent="0.25">
      <c r="A16" t="s">
        <v>12</v>
      </c>
      <c r="C16" s="3">
        <v>0.98</v>
      </c>
    </row>
    <row r="17" spans="1:3" x14ac:dyDescent="0.25">
      <c r="A17" t="s">
        <v>13</v>
      </c>
      <c r="C17" s="3">
        <v>0.97970000000000002</v>
      </c>
    </row>
    <row r="18" spans="1:3" x14ac:dyDescent="0.25">
      <c r="A18" t="s">
        <v>14</v>
      </c>
      <c r="C18" s="3">
        <v>0.98</v>
      </c>
    </row>
    <row r="19" spans="1:3" x14ac:dyDescent="0.25">
      <c r="A19" t="s">
        <v>15</v>
      </c>
      <c r="C19" s="3">
        <v>0.97940000000000005</v>
      </c>
    </row>
    <row r="20" spans="1:3" x14ac:dyDescent="0.25">
      <c r="A20" t="s">
        <v>16</v>
      </c>
      <c r="C20" s="3">
        <v>0.98</v>
      </c>
    </row>
    <row r="21" spans="1:3" x14ac:dyDescent="0.25">
      <c r="A21" t="s">
        <v>17</v>
      </c>
      <c r="C21" s="3">
        <v>1</v>
      </c>
    </row>
    <row r="22" spans="1:3" x14ac:dyDescent="0.25">
      <c r="A22" t="s">
        <v>18</v>
      </c>
      <c r="C22" s="3">
        <v>0.6855</v>
      </c>
    </row>
    <row r="23" spans="1:3" x14ac:dyDescent="0.25">
      <c r="A23" t="s">
        <v>19</v>
      </c>
      <c r="C23" s="3">
        <v>0.76400000000000001</v>
      </c>
    </row>
    <row r="24" spans="1:3" x14ac:dyDescent="0.25">
      <c r="A24" t="s">
        <v>20</v>
      </c>
      <c r="C24" s="3">
        <v>0.74139999999999995</v>
      </c>
    </row>
    <row r="25" spans="1:3" x14ac:dyDescent="0.25">
      <c r="A25" t="s">
        <v>21</v>
      </c>
      <c r="C25" s="3">
        <v>0.71719999999999995</v>
      </c>
    </row>
    <row r="26" spans="1:3" x14ac:dyDescent="0.25">
      <c r="A26" t="s">
        <v>22</v>
      </c>
      <c r="C26" s="3">
        <v>0</v>
      </c>
    </row>
    <row r="27" spans="1:3" x14ac:dyDescent="0.25">
      <c r="A27" t="s">
        <v>23</v>
      </c>
      <c r="C27" s="3">
        <v>0.4143</v>
      </c>
    </row>
    <row r="28" spans="1:3" x14ac:dyDescent="0.25">
      <c r="A28" t="s">
        <v>24</v>
      </c>
      <c r="C28" s="3">
        <v>6.2E-2</v>
      </c>
    </row>
    <row r="29" spans="1:3" x14ac:dyDescent="0.25">
      <c r="A29" t="s">
        <v>25</v>
      </c>
      <c r="C29" s="3">
        <v>0.63070000000000004</v>
      </c>
    </row>
    <row r="30" spans="1:3" x14ac:dyDescent="0.25">
      <c r="A30" t="s">
        <v>26</v>
      </c>
      <c r="C30" s="3">
        <v>0.6925</v>
      </c>
    </row>
    <row r="32" spans="1:3" x14ac:dyDescent="0.25">
      <c r="A32" t="s">
        <v>27</v>
      </c>
    </row>
    <row r="33" spans="1:6" x14ac:dyDescent="0.25">
      <c r="A33" t="s">
        <v>554</v>
      </c>
      <c r="B33" t="s">
        <v>556</v>
      </c>
      <c r="C33" t="s">
        <v>555</v>
      </c>
    </row>
    <row r="34" spans="1:6" x14ac:dyDescent="0.25">
      <c r="A34" t="s">
        <v>28</v>
      </c>
      <c r="C34" s="3" t="s">
        <v>926</v>
      </c>
    </row>
    <row r="35" spans="1:6" x14ac:dyDescent="0.25">
      <c r="A35" t="s">
        <v>29</v>
      </c>
      <c r="C35" s="3" t="s">
        <v>927</v>
      </c>
    </row>
    <row r="36" spans="1:6" x14ac:dyDescent="0.25">
      <c r="A36" t="s">
        <v>30</v>
      </c>
      <c r="C36" s="3" t="s">
        <v>928</v>
      </c>
    </row>
    <row r="37" spans="1:6" x14ac:dyDescent="0.25">
      <c r="A37" t="s">
        <v>31</v>
      </c>
      <c r="C37" s="3" t="s">
        <v>929</v>
      </c>
    </row>
    <row r="38" spans="1:6" x14ac:dyDescent="0.25">
      <c r="A38" t="s">
        <v>32</v>
      </c>
      <c r="C38" s="3" t="s">
        <v>930</v>
      </c>
      <c r="F38" s="3"/>
    </row>
    <row r="39" spans="1:6" x14ac:dyDescent="0.25">
      <c r="A39" t="s">
        <v>33</v>
      </c>
      <c r="C39" s="3" t="s">
        <v>931</v>
      </c>
      <c r="F39" s="3"/>
    </row>
    <row r="40" spans="1:6" x14ac:dyDescent="0.25">
      <c r="A40" t="s">
        <v>34</v>
      </c>
      <c r="C40" s="3" t="s">
        <v>932</v>
      </c>
      <c r="F40" s="3"/>
    </row>
    <row r="41" spans="1:6" x14ac:dyDescent="0.25">
      <c r="A41" t="s">
        <v>35</v>
      </c>
      <c r="C41" s="3" t="s">
        <v>933</v>
      </c>
      <c r="F41" s="3"/>
    </row>
    <row r="42" spans="1:6" x14ac:dyDescent="0.25">
      <c r="A42" t="s">
        <v>36</v>
      </c>
      <c r="C42" s="3" t="s">
        <v>934</v>
      </c>
    </row>
    <row r="43" spans="1:6" x14ac:dyDescent="0.25">
      <c r="A43" t="s">
        <v>37</v>
      </c>
      <c r="C43" s="3" t="s">
        <v>791</v>
      </c>
    </row>
    <row r="44" spans="1:6" x14ac:dyDescent="0.25">
      <c r="A44" t="s">
        <v>38</v>
      </c>
      <c r="C44" s="3" t="s">
        <v>557</v>
      </c>
    </row>
    <row r="45" spans="1:6" x14ac:dyDescent="0.25">
      <c r="A45" t="s">
        <v>39</v>
      </c>
      <c r="C45" s="3" t="s">
        <v>935</v>
      </c>
    </row>
    <row r="46" spans="1:6" x14ac:dyDescent="0.25">
      <c r="A46" t="s">
        <v>40</v>
      </c>
      <c r="C46" s="3" t="s">
        <v>936</v>
      </c>
      <c r="F46" s="3"/>
    </row>
    <row r="47" spans="1:6" x14ac:dyDescent="0.25">
      <c r="A47" t="s">
        <v>41</v>
      </c>
      <c r="C47" s="3">
        <v>0.71809999999999996</v>
      </c>
      <c r="F47" s="3"/>
    </row>
    <row r="48" spans="1:6" x14ac:dyDescent="0.25">
      <c r="A48" t="s">
        <v>42</v>
      </c>
      <c r="C48" s="3">
        <v>0.69159999999999999</v>
      </c>
      <c r="F48" s="3"/>
    </row>
    <row r="49" spans="1:6" x14ac:dyDescent="0.25">
      <c r="A49" t="s">
        <v>43</v>
      </c>
      <c r="C49" s="3">
        <v>3.15E-2</v>
      </c>
      <c r="F49" s="3"/>
    </row>
    <row r="50" spans="1:6" x14ac:dyDescent="0.25">
      <c r="A50" t="s">
        <v>44</v>
      </c>
      <c r="C50" s="3">
        <v>0.96850000000000003</v>
      </c>
    </row>
    <row r="51" spans="1:6" x14ac:dyDescent="0.25">
      <c r="C51" s="3"/>
    </row>
    <row r="52" spans="1:6" x14ac:dyDescent="0.25">
      <c r="A52" t="s">
        <v>45</v>
      </c>
      <c r="C52" s="3"/>
    </row>
    <row r="53" spans="1:6" x14ac:dyDescent="0.25">
      <c r="A53" t="s">
        <v>554</v>
      </c>
      <c r="B53" t="s">
        <v>556</v>
      </c>
      <c r="C53" s="3" t="s">
        <v>555</v>
      </c>
    </row>
    <row r="54" spans="1:6" x14ac:dyDescent="0.25">
      <c r="A54" t="s">
        <v>46</v>
      </c>
      <c r="C54" s="3">
        <v>6.8999999999999999E-3</v>
      </c>
    </row>
    <row r="55" spans="1:6" x14ac:dyDescent="0.25">
      <c r="A55" t="s">
        <v>47</v>
      </c>
      <c r="C55" s="3">
        <v>1.46E-2</v>
      </c>
    </row>
    <row r="56" spans="1:6" x14ac:dyDescent="0.25">
      <c r="A56" t="s">
        <v>48</v>
      </c>
      <c r="C56" s="3">
        <v>0.13370000000000001</v>
      </c>
    </row>
    <row r="57" spans="1:6" x14ac:dyDescent="0.25">
      <c r="A57" t="s">
        <v>49</v>
      </c>
      <c r="C57" s="3">
        <v>9.7000000000000003E-3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_BSC_CFO"/>
  <dimension ref="A1:F36"/>
  <sheetViews>
    <sheetView workbookViewId="0">
      <selection activeCell="C5" sqref="C5"/>
    </sheetView>
  </sheetViews>
  <sheetFormatPr baseColWidth="10" defaultRowHeight="15" x14ac:dyDescent="0.25"/>
  <cols>
    <col min="1" max="1" width="30" bestFit="1" customWidth="1"/>
    <col min="2" max="2" width="6.5703125" customWidth="1"/>
    <col min="3" max="3" width="17.85546875" bestFit="1" customWidth="1"/>
  </cols>
  <sheetData>
    <row r="1" spans="1:3" x14ac:dyDescent="0.25">
      <c r="A1" t="s">
        <v>45</v>
      </c>
    </row>
    <row r="2" spans="1:3" x14ac:dyDescent="0.25">
      <c r="A2" t="s">
        <v>554</v>
      </c>
      <c r="B2" t="s">
        <v>556</v>
      </c>
      <c r="C2" t="s">
        <v>555</v>
      </c>
    </row>
    <row r="3" spans="1:3" x14ac:dyDescent="0.25">
      <c r="A3" t="s">
        <v>51</v>
      </c>
      <c r="C3" s="3">
        <v>0.88429999999999997</v>
      </c>
    </row>
    <row r="4" spans="1:3" x14ac:dyDescent="0.25">
      <c r="A4" t="s">
        <v>52</v>
      </c>
      <c r="C4" s="3">
        <v>0</v>
      </c>
    </row>
    <row r="5" spans="1:3" x14ac:dyDescent="0.25">
      <c r="A5" t="s">
        <v>53</v>
      </c>
      <c r="C5" s="3">
        <v>0.1157</v>
      </c>
    </row>
    <row r="6" spans="1:3" x14ac:dyDescent="0.25">
      <c r="A6" t="s">
        <v>54</v>
      </c>
      <c r="C6" s="3">
        <v>0</v>
      </c>
    </row>
    <row r="7" spans="1:3" x14ac:dyDescent="0.25">
      <c r="A7" t="s">
        <v>55</v>
      </c>
      <c r="C7" t="s">
        <v>937</v>
      </c>
    </row>
    <row r="8" spans="1:3" x14ac:dyDescent="0.25">
      <c r="A8" t="s">
        <v>56</v>
      </c>
      <c r="C8" s="3">
        <v>0.28320000000000001</v>
      </c>
    </row>
    <row r="31" spans="6:6" x14ac:dyDescent="0.25">
      <c r="F31" s="3"/>
    </row>
    <row r="32" spans="6:6" x14ac:dyDescent="0.25">
      <c r="F32" s="3"/>
    </row>
    <row r="33" spans="6:6" x14ac:dyDescent="0.25">
      <c r="F33" s="3"/>
    </row>
    <row r="34" spans="6:6" x14ac:dyDescent="0.25">
      <c r="F34" s="3"/>
    </row>
    <row r="36" spans="6:6" x14ac:dyDescent="0.25">
      <c r="F36" s="3"/>
    </row>
  </sheetData>
  <pageMargins left="0.7" right="0.7" top="0.78740157499999996" bottom="0.78740157499999996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_BSC_CMO"/>
  <dimension ref="A1:F35"/>
  <sheetViews>
    <sheetView workbookViewId="0"/>
  </sheetViews>
  <sheetFormatPr baseColWidth="10" defaultRowHeight="15" x14ac:dyDescent="0.25"/>
  <cols>
    <col min="1" max="1" width="63.85546875" bestFit="1" customWidth="1"/>
    <col min="2" max="2" width="6.5703125" customWidth="1"/>
    <col min="3" max="3" width="8.140625" customWidth="1"/>
  </cols>
  <sheetData>
    <row r="1" spans="1:3" x14ac:dyDescent="0.25">
      <c r="A1" t="s">
        <v>5</v>
      </c>
    </row>
    <row r="2" spans="1:3" x14ac:dyDescent="0.25">
      <c r="A2" t="s">
        <v>554</v>
      </c>
      <c r="B2" t="s">
        <v>556</v>
      </c>
      <c r="C2" t="s">
        <v>555</v>
      </c>
    </row>
    <row r="3" spans="1:3" x14ac:dyDescent="0.25">
      <c r="A3" t="s">
        <v>58</v>
      </c>
      <c r="C3" s="3">
        <v>0.97</v>
      </c>
    </row>
    <row r="4" spans="1:3" x14ac:dyDescent="0.25">
      <c r="A4" t="s">
        <v>59</v>
      </c>
      <c r="C4" s="3">
        <v>0.40379999999999999</v>
      </c>
    </row>
    <row r="5" spans="1:3" x14ac:dyDescent="0.25">
      <c r="A5" t="s">
        <v>60</v>
      </c>
      <c r="C5" s="3">
        <v>0.51100000000000001</v>
      </c>
    </row>
    <row r="7" spans="1:3" x14ac:dyDescent="0.25">
      <c r="A7" t="s">
        <v>6</v>
      </c>
    </row>
    <row r="8" spans="1:3" x14ac:dyDescent="0.25">
      <c r="A8" t="s">
        <v>554</v>
      </c>
      <c r="B8" t="s">
        <v>556</v>
      </c>
      <c r="C8" t="s">
        <v>555</v>
      </c>
    </row>
    <row r="9" spans="1:3" x14ac:dyDescent="0.25">
      <c r="A9" t="s">
        <v>61</v>
      </c>
      <c r="C9" s="3">
        <v>0.122</v>
      </c>
    </row>
    <row r="10" spans="1:3" x14ac:dyDescent="0.25">
      <c r="A10" t="s">
        <v>62</v>
      </c>
      <c r="C10" s="3">
        <v>0.5585</v>
      </c>
    </row>
    <row r="11" spans="1:3" x14ac:dyDescent="0.25">
      <c r="A11" t="s">
        <v>63</v>
      </c>
      <c r="C11" s="3">
        <v>0.98129999999999995</v>
      </c>
    </row>
    <row r="13" spans="1:3" x14ac:dyDescent="0.25">
      <c r="A13" t="s">
        <v>27</v>
      </c>
    </row>
    <row r="14" spans="1:3" x14ac:dyDescent="0.25">
      <c r="A14" t="s">
        <v>554</v>
      </c>
      <c r="B14" t="s">
        <v>556</v>
      </c>
      <c r="C14" t="s">
        <v>555</v>
      </c>
    </row>
    <row r="15" spans="1:3" x14ac:dyDescent="0.25">
      <c r="A15" t="s">
        <v>64</v>
      </c>
      <c r="C15" s="3">
        <v>0.99170000000000003</v>
      </c>
    </row>
    <row r="16" spans="1:3" x14ac:dyDescent="0.25">
      <c r="A16" t="s">
        <v>65</v>
      </c>
      <c r="C16" s="3">
        <v>0.99170000000000003</v>
      </c>
    </row>
    <row r="17" spans="1:6" x14ac:dyDescent="0.25">
      <c r="A17" t="s">
        <v>66</v>
      </c>
      <c r="C17" s="3">
        <v>9.9000000000000008E-3</v>
      </c>
    </row>
    <row r="18" spans="1:6" x14ac:dyDescent="0.25">
      <c r="A18" t="s">
        <v>67</v>
      </c>
      <c r="C18" s="3">
        <v>0.99990000000000001</v>
      </c>
    </row>
    <row r="20" spans="1:6" x14ac:dyDescent="0.25">
      <c r="A20" t="s">
        <v>45</v>
      </c>
    </row>
    <row r="21" spans="1:6" x14ac:dyDescent="0.25">
      <c r="A21" t="s">
        <v>554</v>
      </c>
      <c r="B21" t="s">
        <v>556</v>
      </c>
      <c r="C21" t="s">
        <v>555</v>
      </c>
    </row>
    <row r="22" spans="1:6" x14ac:dyDescent="0.25">
      <c r="A22" t="s">
        <v>68</v>
      </c>
      <c r="C22" s="3">
        <v>2.2222</v>
      </c>
    </row>
    <row r="23" spans="1:6" x14ac:dyDescent="0.25">
      <c r="A23" t="s">
        <v>69</v>
      </c>
      <c r="C23" s="3">
        <v>0.96299999999999997</v>
      </c>
    </row>
    <row r="24" spans="1:6" x14ac:dyDescent="0.25">
      <c r="A24" t="s">
        <v>70</v>
      </c>
      <c r="C24" s="3">
        <v>1</v>
      </c>
    </row>
    <row r="25" spans="1:6" x14ac:dyDescent="0.25">
      <c r="A25" t="s">
        <v>71</v>
      </c>
      <c r="C25" s="3">
        <v>2.8</v>
      </c>
      <c r="F25" s="3"/>
    </row>
    <row r="26" spans="1:6" x14ac:dyDescent="0.25">
      <c r="A26" t="s">
        <v>72</v>
      </c>
      <c r="C26" s="3">
        <v>4</v>
      </c>
      <c r="F26" s="3"/>
    </row>
    <row r="27" spans="1:6" x14ac:dyDescent="0.25">
      <c r="A27" t="s">
        <v>73</v>
      </c>
      <c r="C27" s="3">
        <v>2.92</v>
      </c>
      <c r="F27" s="3"/>
    </row>
    <row r="28" spans="1:6" x14ac:dyDescent="0.25">
      <c r="F28" s="3"/>
    </row>
    <row r="32" spans="1:6" x14ac:dyDescent="0.25">
      <c r="C32" s="3"/>
    </row>
    <row r="33" spans="3:6" x14ac:dyDescent="0.25">
      <c r="C33" s="3"/>
      <c r="F33" s="3"/>
    </row>
    <row r="34" spans="3:6" x14ac:dyDescent="0.25">
      <c r="C34" s="3"/>
      <c r="F34" s="3"/>
    </row>
    <row r="35" spans="3:6" x14ac:dyDescent="0.25">
      <c r="F35" s="3"/>
    </row>
  </sheetData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_BSC_COO"/>
  <dimension ref="A1:F57"/>
  <sheetViews>
    <sheetView workbookViewId="0"/>
  </sheetViews>
  <sheetFormatPr baseColWidth="10" defaultRowHeight="15" x14ac:dyDescent="0.25"/>
  <cols>
    <col min="1" max="1" width="44.85546875" bestFit="1" customWidth="1"/>
    <col min="2" max="2" width="6.5703125" customWidth="1"/>
    <col min="3" max="3" width="13.140625" bestFit="1" customWidth="1"/>
  </cols>
  <sheetData>
    <row r="1" spans="1:3" x14ac:dyDescent="0.25">
      <c r="A1" t="s">
        <v>5</v>
      </c>
    </row>
    <row r="2" spans="1:3" x14ac:dyDescent="0.25">
      <c r="A2" t="s">
        <v>554</v>
      </c>
      <c r="B2" t="s">
        <v>556</v>
      </c>
      <c r="C2" t="s">
        <v>555</v>
      </c>
    </row>
    <row r="3" spans="1:3" x14ac:dyDescent="0.25">
      <c r="A3" t="s">
        <v>75</v>
      </c>
      <c r="C3" s="3">
        <v>0.95130000000000003</v>
      </c>
    </row>
    <row r="4" spans="1:3" x14ac:dyDescent="0.25">
      <c r="A4" t="s">
        <v>76</v>
      </c>
      <c r="C4" s="3">
        <v>0.95689999999999997</v>
      </c>
    </row>
    <row r="5" spans="1:3" x14ac:dyDescent="0.25">
      <c r="A5" t="s">
        <v>77</v>
      </c>
      <c r="C5" s="3">
        <v>0.78969999999999996</v>
      </c>
    </row>
    <row r="6" spans="1:3" x14ac:dyDescent="0.25">
      <c r="A6" t="s">
        <v>78</v>
      </c>
      <c r="C6" s="3">
        <v>0.63070000000000004</v>
      </c>
    </row>
    <row r="7" spans="1:3" x14ac:dyDescent="0.25">
      <c r="A7" t="s">
        <v>79</v>
      </c>
      <c r="C7" s="3">
        <v>0.85350000000000004</v>
      </c>
    </row>
    <row r="8" spans="1:3" x14ac:dyDescent="0.25">
      <c r="A8" t="s">
        <v>80</v>
      </c>
      <c r="C8" s="3">
        <v>0.622</v>
      </c>
    </row>
    <row r="10" spans="1:3" x14ac:dyDescent="0.25">
      <c r="A10" t="s">
        <v>6</v>
      </c>
    </row>
    <row r="11" spans="1:3" x14ac:dyDescent="0.25">
      <c r="A11" t="s">
        <v>554</v>
      </c>
      <c r="B11" t="s">
        <v>556</v>
      </c>
      <c r="C11" t="s">
        <v>555</v>
      </c>
    </row>
    <row r="12" spans="1:3" x14ac:dyDescent="0.25">
      <c r="A12" t="s">
        <v>81</v>
      </c>
      <c r="C12" s="3">
        <v>4.3400000000000001E-2</v>
      </c>
    </row>
    <row r="13" spans="1:3" x14ac:dyDescent="0.25">
      <c r="A13" t="s">
        <v>82</v>
      </c>
      <c r="C13" s="3">
        <v>0.18229999999999999</v>
      </c>
    </row>
    <row r="14" spans="1:3" x14ac:dyDescent="0.25">
      <c r="A14" t="s">
        <v>83</v>
      </c>
      <c r="C14" s="3">
        <v>0.66869999999999996</v>
      </c>
    </row>
    <row r="15" spans="1:3" x14ac:dyDescent="0.25">
      <c r="A15" t="s">
        <v>84</v>
      </c>
      <c r="C15" s="3">
        <v>0.64829999999999999</v>
      </c>
    </row>
    <row r="16" spans="1:3" x14ac:dyDescent="0.25">
      <c r="A16" t="s">
        <v>85</v>
      </c>
      <c r="C16" s="3">
        <v>0.67349999999999999</v>
      </c>
    </row>
    <row r="17" spans="1:3" x14ac:dyDescent="0.25">
      <c r="A17" t="s">
        <v>86</v>
      </c>
      <c r="C17" s="3">
        <v>0.56879999999999997</v>
      </c>
    </row>
    <row r="18" spans="1:3" x14ac:dyDescent="0.25">
      <c r="A18" t="s">
        <v>87</v>
      </c>
      <c r="C18" s="3">
        <v>0.63800000000000001</v>
      </c>
    </row>
    <row r="19" spans="1:3" x14ac:dyDescent="0.25">
      <c r="A19" t="s">
        <v>88</v>
      </c>
      <c r="C19" s="3">
        <v>0.69789999999999996</v>
      </c>
    </row>
    <row r="20" spans="1:3" x14ac:dyDescent="0.25">
      <c r="A20" t="s">
        <v>89</v>
      </c>
      <c r="C20" s="3">
        <v>1</v>
      </c>
    </row>
    <row r="21" spans="1:3" x14ac:dyDescent="0.25">
      <c r="A21" t="s">
        <v>90</v>
      </c>
      <c r="C21" s="3">
        <v>1</v>
      </c>
    </row>
    <row r="22" spans="1:3" x14ac:dyDescent="0.25">
      <c r="A22" t="s">
        <v>91</v>
      </c>
      <c r="C22" s="3">
        <v>1</v>
      </c>
    </row>
    <row r="23" spans="1:3" x14ac:dyDescent="0.25">
      <c r="A23" t="s">
        <v>92</v>
      </c>
      <c r="C23" s="3">
        <v>1</v>
      </c>
    </row>
    <row r="24" spans="1:3" x14ac:dyDescent="0.25">
      <c r="A24" t="s">
        <v>93</v>
      </c>
      <c r="C24" s="3">
        <v>0.97960000000000003</v>
      </c>
    </row>
    <row r="25" spans="1:3" x14ac:dyDescent="0.25">
      <c r="A25" t="s">
        <v>94</v>
      </c>
      <c r="C25" s="3">
        <v>0.97960000000000003</v>
      </c>
    </row>
    <row r="26" spans="1:3" x14ac:dyDescent="0.25">
      <c r="A26" t="s">
        <v>95</v>
      </c>
      <c r="C26" s="3">
        <v>0.97960000000000003</v>
      </c>
    </row>
    <row r="27" spans="1:3" x14ac:dyDescent="0.25">
      <c r="A27" t="s">
        <v>96</v>
      </c>
      <c r="C27" s="3">
        <v>0.97960000000000003</v>
      </c>
    </row>
    <row r="28" spans="1:3" x14ac:dyDescent="0.25">
      <c r="A28" t="s">
        <v>97</v>
      </c>
      <c r="C28" s="3">
        <v>0.97960000000000003</v>
      </c>
    </row>
    <row r="29" spans="1:3" x14ac:dyDescent="0.25">
      <c r="A29" t="s">
        <v>98</v>
      </c>
      <c r="C29" s="3">
        <v>0.97960000000000003</v>
      </c>
    </row>
    <row r="30" spans="1:3" x14ac:dyDescent="0.25">
      <c r="C30" s="3"/>
    </row>
    <row r="31" spans="1:3" x14ac:dyDescent="0.25">
      <c r="A31" t="s">
        <v>27</v>
      </c>
    </row>
    <row r="32" spans="1:3" x14ac:dyDescent="0.25">
      <c r="A32" t="s">
        <v>554</v>
      </c>
      <c r="B32" t="s">
        <v>556</v>
      </c>
      <c r="C32" t="s">
        <v>555</v>
      </c>
    </row>
    <row r="33" spans="1:6" x14ac:dyDescent="0.25">
      <c r="A33" t="s">
        <v>99</v>
      </c>
      <c r="C33" t="s">
        <v>938</v>
      </c>
    </row>
    <row r="34" spans="1:6" x14ac:dyDescent="0.25">
      <c r="A34" t="s">
        <v>100</v>
      </c>
      <c r="C34" t="s">
        <v>939</v>
      </c>
    </row>
    <row r="35" spans="1:6" x14ac:dyDescent="0.25">
      <c r="A35" t="s">
        <v>101</v>
      </c>
      <c r="C35" s="3" t="s">
        <v>792</v>
      </c>
    </row>
    <row r="36" spans="1:6" x14ac:dyDescent="0.25">
      <c r="A36" t="s">
        <v>102</v>
      </c>
      <c r="C36" s="3" t="s">
        <v>792</v>
      </c>
    </row>
    <row r="37" spans="1:6" x14ac:dyDescent="0.25">
      <c r="A37" t="s">
        <v>103</v>
      </c>
      <c r="C37" s="3" t="s">
        <v>792</v>
      </c>
      <c r="F37" s="3"/>
    </row>
    <row r="38" spans="1:6" x14ac:dyDescent="0.25">
      <c r="A38" t="s">
        <v>104</v>
      </c>
      <c r="C38" s="3" t="s">
        <v>793</v>
      </c>
      <c r="F38" s="3"/>
    </row>
    <row r="39" spans="1:6" x14ac:dyDescent="0.25">
      <c r="A39" t="s">
        <v>105</v>
      </c>
      <c r="C39" s="3" t="s">
        <v>940</v>
      </c>
      <c r="F39" s="3"/>
    </row>
    <row r="40" spans="1:6" x14ac:dyDescent="0.25">
      <c r="A40" t="s">
        <v>106</v>
      </c>
      <c r="C40" s="3" t="s">
        <v>941</v>
      </c>
      <c r="F40" s="3"/>
    </row>
    <row r="41" spans="1:6" x14ac:dyDescent="0.25">
      <c r="A41" t="s">
        <v>107</v>
      </c>
      <c r="C41" s="3" t="s">
        <v>942</v>
      </c>
      <c r="F41" s="3"/>
    </row>
    <row r="42" spans="1:6" x14ac:dyDescent="0.25">
      <c r="A42" t="s">
        <v>108</v>
      </c>
      <c r="C42" s="3" t="s">
        <v>943</v>
      </c>
      <c r="F42" s="3"/>
    </row>
    <row r="43" spans="1:6" x14ac:dyDescent="0.25">
      <c r="A43" t="s">
        <v>109</v>
      </c>
      <c r="C43" s="3" t="s">
        <v>944</v>
      </c>
    </row>
    <row r="44" spans="1:6" x14ac:dyDescent="0.25">
      <c r="A44" t="s">
        <v>110</v>
      </c>
      <c r="C44" s="3" t="s">
        <v>945</v>
      </c>
    </row>
    <row r="45" spans="1:6" x14ac:dyDescent="0.25">
      <c r="A45" t="s">
        <v>111</v>
      </c>
      <c r="C45" s="3">
        <v>4.87E-2</v>
      </c>
    </row>
    <row r="46" spans="1:6" x14ac:dyDescent="0.25">
      <c r="A46" t="s">
        <v>112</v>
      </c>
      <c r="C46" s="3">
        <v>4.3099999999999999E-2</v>
      </c>
    </row>
    <row r="47" spans="1:6" x14ac:dyDescent="0.25">
      <c r="A47" t="s">
        <v>113</v>
      </c>
      <c r="C47" s="3">
        <v>2.3599999999999999E-2</v>
      </c>
    </row>
    <row r="48" spans="1:6" x14ac:dyDescent="0.25">
      <c r="A48" t="s">
        <v>114</v>
      </c>
      <c r="C48" s="3">
        <v>2.4400000000000002E-2</v>
      </c>
    </row>
    <row r="49" spans="1:6" x14ac:dyDescent="0.25">
      <c r="A49" t="s">
        <v>115</v>
      </c>
      <c r="C49" s="3">
        <v>2.3400000000000001E-2</v>
      </c>
      <c r="F49" s="3"/>
    </row>
    <row r="50" spans="1:6" x14ac:dyDescent="0.25">
      <c r="A50" t="s">
        <v>116</v>
      </c>
      <c r="C50" s="3">
        <v>2.7699999999999999E-2</v>
      </c>
      <c r="F50" s="3"/>
    </row>
    <row r="51" spans="1:6" x14ac:dyDescent="0.25">
      <c r="C51" s="3"/>
    </row>
    <row r="52" spans="1:6" x14ac:dyDescent="0.25">
      <c r="A52" t="s">
        <v>45</v>
      </c>
      <c r="C52" s="3"/>
    </row>
    <row r="53" spans="1:6" x14ac:dyDescent="0.25">
      <c r="A53" t="s">
        <v>554</v>
      </c>
      <c r="B53" t="s">
        <v>556</v>
      </c>
      <c r="C53" t="s">
        <v>555</v>
      </c>
    </row>
    <row r="54" spans="1:6" x14ac:dyDescent="0.25">
      <c r="A54" t="s">
        <v>117</v>
      </c>
      <c r="C54">
        <v>8.44</v>
      </c>
    </row>
    <row r="55" spans="1:6" x14ac:dyDescent="0.25">
      <c r="A55" t="s">
        <v>118</v>
      </c>
      <c r="C55">
        <v>9.56</v>
      </c>
    </row>
    <row r="56" spans="1:6" x14ac:dyDescent="0.25">
      <c r="A56" t="s">
        <v>119</v>
      </c>
      <c r="C56" s="3">
        <v>0.15040000000000001</v>
      </c>
    </row>
    <row r="57" spans="1:6" x14ac:dyDescent="0.25">
      <c r="A57" t="s">
        <v>120</v>
      </c>
      <c r="C57" s="3">
        <v>0.61839999999999995</v>
      </c>
    </row>
  </sheetData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_BilanzImport"/>
  <dimension ref="A1:J33"/>
  <sheetViews>
    <sheetView topLeftCell="A10" workbookViewId="0">
      <selection activeCell="A25" sqref="A25"/>
    </sheetView>
  </sheetViews>
  <sheetFormatPr baseColWidth="10" defaultRowHeight="15" x14ac:dyDescent="0.25"/>
  <cols>
    <col min="1" max="1" width="30.5703125" customWidth="1"/>
    <col min="2" max="2" width="12.7109375" customWidth="1"/>
    <col min="3" max="3" width="10.5703125" customWidth="1"/>
    <col min="4" max="6" width="10.42578125" customWidth="1"/>
  </cols>
  <sheetData>
    <row r="1" spans="1:3" x14ac:dyDescent="0.25">
      <c r="A1" t="s">
        <v>558</v>
      </c>
    </row>
    <row r="2" spans="1:3" x14ac:dyDescent="0.25">
      <c r="B2" s="5" t="s">
        <v>651</v>
      </c>
      <c r="C2" s="5" t="s">
        <v>652</v>
      </c>
    </row>
    <row r="3" spans="1:3" x14ac:dyDescent="0.25">
      <c r="A3" t="s">
        <v>133</v>
      </c>
      <c r="B3" s="5">
        <v>14433.43</v>
      </c>
      <c r="C3" s="5">
        <v>12137.52</v>
      </c>
    </row>
    <row r="4" spans="1:3" x14ac:dyDescent="0.25">
      <c r="A4" t="s">
        <v>134</v>
      </c>
      <c r="B4" s="5">
        <v>0</v>
      </c>
      <c r="C4" s="5">
        <v>19.52</v>
      </c>
    </row>
    <row r="5" spans="1:3" x14ac:dyDescent="0.25">
      <c r="A5" t="s">
        <v>135</v>
      </c>
      <c r="B5" s="5">
        <v>0</v>
      </c>
      <c r="C5" s="5">
        <v>19.52</v>
      </c>
    </row>
    <row r="6" spans="1:3" x14ac:dyDescent="0.25">
      <c r="A6" t="s">
        <v>136</v>
      </c>
      <c r="B6">
        <v>0</v>
      </c>
      <c r="C6">
        <v>0</v>
      </c>
    </row>
    <row r="7" spans="1:3" x14ac:dyDescent="0.25">
      <c r="A7" t="s">
        <v>137</v>
      </c>
      <c r="B7">
        <v>0</v>
      </c>
      <c r="C7">
        <v>0</v>
      </c>
    </row>
    <row r="8" spans="1:3" x14ac:dyDescent="0.25">
      <c r="A8" t="s">
        <v>138</v>
      </c>
      <c r="B8">
        <v>0</v>
      </c>
      <c r="C8">
        <v>0</v>
      </c>
    </row>
    <row r="9" spans="1:3" x14ac:dyDescent="0.25">
      <c r="A9" t="s">
        <v>139</v>
      </c>
      <c r="B9" s="5">
        <v>14433.43</v>
      </c>
      <c r="C9" s="5">
        <v>12118</v>
      </c>
    </row>
    <row r="10" spans="1:3" x14ac:dyDescent="0.25">
      <c r="A10" t="s">
        <v>140</v>
      </c>
      <c r="B10">
        <v>0</v>
      </c>
      <c r="C10">
        <v>0</v>
      </c>
    </row>
    <row r="11" spans="1:3" x14ac:dyDescent="0.25">
      <c r="A11" t="s">
        <v>141</v>
      </c>
      <c r="B11" s="5">
        <v>14433.43</v>
      </c>
      <c r="C11" s="5">
        <v>12118</v>
      </c>
    </row>
    <row r="12" spans="1:3" x14ac:dyDescent="0.25">
      <c r="A12" t="s">
        <v>142</v>
      </c>
      <c r="B12">
        <v>12.01</v>
      </c>
      <c r="C12">
        <v>13.14</v>
      </c>
    </row>
    <row r="13" spans="1:3" x14ac:dyDescent="0.25">
      <c r="A13" t="s">
        <v>143</v>
      </c>
      <c r="B13">
        <v>12.01</v>
      </c>
      <c r="C13">
        <v>13.14</v>
      </c>
    </row>
    <row r="14" spans="1:3" x14ac:dyDescent="0.25">
      <c r="A14" t="s">
        <v>144</v>
      </c>
      <c r="B14" s="5">
        <v>14445.44</v>
      </c>
      <c r="C14" s="5">
        <v>12150.66</v>
      </c>
    </row>
    <row r="16" spans="1:3" x14ac:dyDescent="0.25">
      <c r="A16" t="s">
        <v>559</v>
      </c>
    </row>
    <row r="17" spans="1:10" x14ac:dyDescent="0.25">
      <c r="B17" t="s">
        <v>651</v>
      </c>
      <c r="C17" t="s">
        <v>652</v>
      </c>
      <c r="H17" s="5"/>
      <c r="J17" s="5"/>
    </row>
    <row r="18" spans="1:10" x14ac:dyDescent="0.25">
      <c r="A18" t="s">
        <v>145</v>
      </c>
      <c r="B18" s="5">
        <v>13439.99</v>
      </c>
      <c r="C18" s="5">
        <v>11447.53</v>
      </c>
      <c r="H18" s="5"/>
      <c r="J18" s="5"/>
    </row>
    <row r="19" spans="1:10" x14ac:dyDescent="0.25">
      <c r="A19" t="s">
        <v>146</v>
      </c>
      <c r="B19" s="5">
        <v>4762.7700000000004</v>
      </c>
      <c r="C19" s="5">
        <v>3000</v>
      </c>
      <c r="H19" s="5"/>
    </row>
    <row r="20" spans="1:10" x14ac:dyDescent="0.25">
      <c r="A20" t="s">
        <v>147</v>
      </c>
      <c r="B20" s="5">
        <v>2262.77</v>
      </c>
      <c r="C20">
        <v>0</v>
      </c>
    </row>
    <row r="21" spans="1:10" x14ac:dyDescent="0.25">
      <c r="A21" t="s">
        <v>148</v>
      </c>
      <c r="B21" s="5">
        <v>2500</v>
      </c>
      <c r="C21" s="5">
        <v>3000</v>
      </c>
      <c r="J21" s="5"/>
    </row>
    <row r="22" spans="1:10" x14ac:dyDescent="0.25">
      <c r="A22" t="s">
        <v>149</v>
      </c>
      <c r="B22" s="5">
        <v>8677.2199999999993</v>
      </c>
      <c r="C22" s="5">
        <v>8447.5300000000007</v>
      </c>
      <c r="H22" s="5"/>
    </row>
    <row r="23" spans="1:10" x14ac:dyDescent="0.25">
      <c r="A23" t="s">
        <v>150</v>
      </c>
      <c r="B23" s="5">
        <v>0</v>
      </c>
      <c r="C23" s="5">
        <v>500</v>
      </c>
      <c r="H23" s="5"/>
      <c r="J23" s="5"/>
    </row>
    <row r="24" spans="1:10" x14ac:dyDescent="0.25">
      <c r="A24" t="s">
        <v>151</v>
      </c>
      <c r="B24" s="5">
        <v>8677.2199999999993</v>
      </c>
      <c r="C24" s="5">
        <v>7947.53</v>
      </c>
      <c r="H24" s="5"/>
    </row>
    <row r="25" spans="1:10" x14ac:dyDescent="0.25">
      <c r="A25" t="s">
        <v>152</v>
      </c>
      <c r="B25" s="5">
        <v>1005.44</v>
      </c>
      <c r="C25">
        <v>703.13</v>
      </c>
      <c r="H25" s="5"/>
    </row>
    <row r="26" spans="1:10" x14ac:dyDescent="0.25">
      <c r="A26" t="s">
        <v>794</v>
      </c>
      <c r="B26">
        <v>85</v>
      </c>
      <c r="C26">
        <v>85</v>
      </c>
    </row>
    <row r="27" spans="1:10" x14ac:dyDescent="0.25">
      <c r="A27" t="s">
        <v>154</v>
      </c>
      <c r="B27">
        <v>741.44</v>
      </c>
      <c r="C27">
        <v>471.65</v>
      </c>
    </row>
    <row r="28" spans="1:10" x14ac:dyDescent="0.25">
      <c r="A28" t="s">
        <v>155</v>
      </c>
      <c r="B28">
        <v>179</v>
      </c>
      <c r="C28">
        <v>146.47999999999999</v>
      </c>
      <c r="H28" s="5"/>
      <c r="J28" s="5"/>
    </row>
    <row r="29" spans="1:10" x14ac:dyDescent="0.25">
      <c r="A29" t="s">
        <v>156</v>
      </c>
      <c r="B29" s="5">
        <v>14445.44</v>
      </c>
      <c r="C29" s="5">
        <v>12150.66</v>
      </c>
      <c r="H29" s="5"/>
    </row>
    <row r="31" spans="1:10" x14ac:dyDescent="0.25">
      <c r="B31" s="5"/>
      <c r="C31" s="5"/>
      <c r="D31" s="5"/>
      <c r="E31" s="5"/>
      <c r="F31" s="5"/>
    </row>
    <row r="33" spans="1:6" x14ac:dyDescent="0.25">
      <c r="A33" s="18"/>
      <c r="B33" s="18"/>
      <c r="C33" s="18"/>
      <c r="D33" s="18"/>
      <c r="E33" s="18"/>
      <c r="F33" s="18"/>
    </row>
  </sheetData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_ProfitLossImport"/>
  <dimension ref="A1:B39"/>
  <sheetViews>
    <sheetView workbookViewId="0"/>
  </sheetViews>
  <sheetFormatPr baseColWidth="10" defaultRowHeight="15" x14ac:dyDescent="0.25"/>
  <cols>
    <col min="1" max="1" width="48.85546875" bestFit="1" customWidth="1"/>
    <col min="2" max="2" width="13.7109375" customWidth="1"/>
  </cols>
  <sheetData>
    <row r="1" spans="1:2" x14ac:dyDescent="0.25">
      <c r="A1" t="s">
        <v>560</v>
      </c>
      <c r="B1" t="s">
        <v>561</v>
      </c>
    </row>
    <row r="2" spans="1:2" x14ac:dyDescent="0.25">
      <c r="A2" t="s">
        <v>159</v>
      </c>
    </row>
    <row r="3" spans="1:2" x14ac:dyDescent="0.25">
      <c r="A3" t="s">
        <v>160</v>
      </c>
      <c r="B3" s="5">
        <v>884055415.91700006</v>
      </c>
    </row>
    <row r="4" spans="1:2" x14ac:dyDescent="0.25">
      <c r="A4" t="s">
        <v>161</v>
      </c>
      <c r="B4" s="5">
        <v>304713517.68300003</v>
      </c>
    </row>
    <row r="5" spans="1:2" x14ac:dyDescent="0.25">
      <c r="A5" t="s">
        <v>162</v>
      </c>
      <c r="B5" s="5">
        <v>579341898.22500002</v>
      </c>
    </row>
    <row r="6" spans="1:2" x14ac:dyDescent="0.25">
      <c r="A6" t="s">
        <v>163</v>
      </c>
      <c r="B6" s="5">
        <v>85964030.924999997</v>
      </c>
    </row>
    <row r="7" spans="1:2" x14ac:dyDescent="0.25">
      <c r="A7" t="s">
        <v>164</v>
      </c>
      <c r="B7" s="5">
        <v>493377867.30800003</v>
      </c>
    </row>
    <row r="8" spans="1:2" x14ac:dyDescent="0.25">
      <c r="A8" t="s">
        <v>165</v>
      </c>
    </row>
    <row r="9" spans="1:2" x14ac:dyDescent="0.25">
      <c r="A9" t="s">
        <v>166</v>
      </c>
      <c r="B9" s="5">
        <v>76969431.908000007</v>
      </c>
    </row>
    <row r="10" spans="1:2" x14ac:dyDescent="0.25">
      <c r="A10" t="s">
        <v>167</v>
      </c>
      <c r="B10" s="19">
        <v>0</v>
      </c>
    </row>
    <row r="11" spans="1:2" x14ac:dyDescent="0.25">
      <c r="A11" t="s">
        <v>168</v>
      </c>
      <c r="B11">
        <v>0</v>
      </c>
    </row>
    <row r="12" spans="1:2" x14ac:dyDescent="0.25">
      <c r="A12" t="s">
        <v>169</v>
      </c>
      <c r="B12" s="5">
        <v>76969431.908000007</v>
      </c>
    </row>
    <row r="13" spans="1:2" x14ac:dyDescent="0.25">
      <c r="A13" t="s">
        <v>170</v>
      </c>
    </row>
    <row r="14" spans="1:2" x14ac:dyDescent="0.25">
      <c r="A14" t="s">
        <v>171</v>
      </c>
      <c r="B14" s="5">
        <v>28243520.416999999</v>
      </c>
    </row>
    <row r="15" spans="1:2" x14ac:dyDescent="0.25">
      <c r="A15" t="s">
        <v>172</v>
      </c>
      <c r="B15" s="5">
        <v>116541951.692</v>
      </c>
    </row>
    <row r="16" spans="1:2" x14ac:dyDescent="0.25">
      <c r="A16" t="s">
        <v>173</v>
      </c>
      <c r="B16" s="5">
        <v>2737239.8330000001</v>
      </c>
    </row>
    <row r="17" spans="1:2" x14ac:dyDescent="0.25">
      <c r="A17" t="s">
        <v>174</v>
      </c>
      <c r="B17" s="19">
        <v>13750000</v>
      </c>
    </row>
    <row r="18" spans="1:2" x14ac:dyDescent="0.25">
      <c r="A18" t="s">
        <v>175</v>
      </c>
      <c r="B18" s="5">
        <v>1934445.2749999999</v>
      </c>
    </row>
    <row r="19" spans="1:2" x14ac:dyDescent="0.25">
      <c r="A19" t="s">
        <v>176</v>
      </c>
      <c r="B19" s="5">
        <v>25193282.875</v>
      </c>
    </row>
    <row r="20" spans="1:2" x14ac:dyDescent="0.25">
      <c r="A20" t="s">
        <v>177</v>
      </c>
      <c r="B20" s="5">
        <v>188400440.09200001</v>
      </c>
    </row>
    <row r="21" spans="1:2" x14ac:dyDescent="0.25">
      <c r="A21" t="s">
        <v>178</v>
      </c>
      <c r="B21" s="5">
        <v>381946859.13300002</v>
      </c>
    </row>
    <row r="22" spans="1:2" x14ac:dyDescent="0.25">
      <c r="A22" t="s">
        <v>179</v>
      </c>
      <c r="B22" s="5">
        <v>114584057.742</v>
      </c>
    </row>
    <row r="23" spans="1:2" x14ac:dyDescent="0.25">
      <c r="A23" t="s">
        <v>180</v>
      </c>
      <c r="B23" s="5">
        <v>267362801.40000001</v>
      </c>
    </row>
    <row r="25" spans="1:2" x14ac:dyDescent="0.25">
      <c r="B25" s="5"/>
    </row>
    <row r="26" spans="1:2" x14ac:dyDescent="0.25">
      <c r="B26" s="19"/>
    </row>
    <row r="28" spans="1:2" x14ac:dyDescent="0.25">
      <c r="B28" s="5"/>
    </row>
    <row r="30" spans="1:2" x14ac:dyDescent="0.25">
      <c r="B30" s="5"/>
    </row>
    <row r="31" spans="1:2" x14ac:dyDescent="0.25">
      <c r="B31" s="5"/>
    </row>
    <row r="32" spans="1:2" x14ac:dyDescent="0.25">
      <c r="B32" s="5"/>
    </row>
    <row r="33" spans="2:2" x14ac:dyDescent="0.25">
      <c r="B33" s="19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  <row r="38" spans="2:2" x14ac:dyDescent="0.25">
      <c r="B38" s="5"/>
    </row>
    <row r="39" spans="2:2" x14ac:dyDescent="0.25">
      <c r="B39" s="5"/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22</vt:i4>
      </vt:variant>
      <vt:variant>
        <vt:lpstr>Benannte Bereiche</vt:lpstr>
      </vt:variant>
      <vt:variant>
        <vt:i4>11</vt:i4>
      </vt:variant>
    </vt:vector>
  </HeadingPairs>
  <TitlesOfParts>
    <vt:vector size="33" baseType="lpstr">
      <vt:lpstr>Startseite</vt:lpstr>
      <vt:lpstr>Management Overview</vt:lpstr>
      <vt:lpstr>Process Development</vt:lpstr>
      <vt:lpstr>Resource Management</vt:lpstr>
      <vt:lpstr>Balanced Score Card</vt:lpstr>
      <vt:lpstr>Zusammenfassung IT</vt:lpstr>
      <vt:lpstr>Wochenplanung Übersicht</vt:lpstr>
      <vt:lpstr>Projekte</vt:lpstr>
      <vt:lpstr>Speicher Kosten</vt:lpstr>
      <vt:lpstr>Projekt Hilfe</vt:lpstr>
      <vt:lpstr>Namen Felder</vt:lpstr>
      <vt:lpstr>Diagramme</vt:lpstr>
      <vt:lpstr>CIO Resource Import</vt:lpstr>
      <vt:lpstr>CFO Resource Import</vt:lpstr>
      <vt:lpstr>CMO Resource Import</vt:lpstr>
      <vt:lpstr>COO Resource Import</vt:lpstr>
      <vt:lpstr>CIO Import</vt:lpstr>
      <vt:lpstr>CFO Import</vt:lpstr>
      <vt:lpstr>CMO Import</vt:lpstr>
      <vt:lpstr>COO Import</vt:lpstr>
      <vt:lpstr>Bilanz Import</vt:lpstr>
      <vt:lpstr>Profit Loss Import</vt:lpstr>
      <vt:lpstr>'CFO Import'!balance_scorecard?p_p_id_go4c_bsc_rm_portlet_WAR_go4cbscrmportlet_INSTANCE_s6L2_p_p_lifecycle_0_p_p_state_maximized_p_p_mode_view_CURRENT_ROLE_CFO_1</vt:lpstr>
      <vt:lpstr>'CIO Import'!balance_scorecard?p_p_id_go4c_bsc_rm_portlet_WAR_go4cbscrmportlet_INSTANCE_s6L2_p_p_lifecycle_0_p_p_state_maximized_p_p_mode_view_CURRENT_ROLE_CIO</vt:lpstr>
      <vt:lpstr>'CMO Import'!balance_scorecard?p_p_id_go4c_bsc_rm_portlet_WAR_go4cbscrmportlet_INSTANCE_s6L2_p_p_lifecycle_0_p_p_state_maximized_p_p_mode_view_CURRENT_ROLE_CMO_1</vt:lpstr>
      <vt:lpstr>'COO Import'!balance_scorecard?p_p_id_go4c_bsc_rm_portlet_WAR_go4cbscrmportlet_INSTANCE_s6L2_p_p_lifecycle_0_p_p_state_maximized_p_p_mode_view_CURRENT_ROLE_COO_1</vt:lpstr>
      <vt:lpstr>'CFO Resource Import'!balance_scorecard?p_p_id_go4c_bsc_rm_portlet_WAR_go4cbscrmportlet_INSTANCE_s6L2_p_p_lifecycle_0_p_p_state_maximized_p_p_mode_view_TABS_FORWARD_RESOURCE_MGMT_FORWARD_CURRENT_ROLE_CFO</vt:lpstr>
      <vt:lpstr>'CIO Resource Import'!balance_scorecard?p_p_id_go4c_bsc_rm_portlet_WAR_go4cbscrmportlet_INSTANCE_s6L2_p_p_lifecycle_0_p_p_state_maximized_p_p_mode_view_TABS_FORWARD_RESOURCE_MGMT_FORWARD_CURRENT_ROLE_CIO</vt:lpstr>
      <vt:lpstr>'CMO Resource Import'!balance_scorecard?p_p_id_go4c_bsc_rm_portlet_WAR_go4cbscrmportlet_INSTANCE_s6L2_p_p_lifecycle_0_p_p_state_maximized_p_p_mode_view_TABS_FORWARD_RESOURCE_MGMT_FORWARD_CURRENT_ROLE_CMO</vt:lpstr>
      <vt:lpstr>'COO Resource Import'!balance_scorecard?p_p_id_go4c_bsc_rm_portlet_WAR_go4cbscrmportlet_INSTANCE_s6L2_p_p_lifecycle_0_p_p_state_maximized_p_p_mode_view_TABS_FORWARD_RESOURCE_MGMT_FORWARD_CURRENT_ROLE_COO</vt:lpstr>
      <vt:lpstr>'Bilanz Import'!management_overview</vt:lpstr>
      <vt:lpstr>'Process Development'!management_overview?p_p_id_go4c_mgmtoverview_portlet_WAR_go4cmgmtoverviewportlet_INSTANCE_lBa8_p_p_lifecycle_0_p_p_state_maximized_p_p_mode_view_TABS_FORWARD_PROCESS_DEVELOPMENT_FORWARD</vt:lpstr>
      <vt:lpstr>'Profit Loss Import'!ProfitLoss</vt:lpstr>
    </vt:vector>
  </TitlesOfParts>
  <Company>Deloitte Touche Tohmatsu Services,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Schnitzenbaumer, Christoph (DE - Muenchen)</dc:creator>
  <cp:lastModifiedBy>Sönke Erfkamp</cp:lastModifiedBy>
  <dcterms:created xsi:type="dcterms:W3CDTF">2015-10-20T18:04:37Z</dcterms:created>
  <dcterms:modified xsi:type="dcterms:W3CDTF">2016-01-18T09:56:54Z</dcterms:modified>
</cp:coreProperties>
</file>